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eb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execl\EFM\"/>
    </mc:Choice>
  </mc:AlternateContent>
  <bookViews>
    <workbookView xWindow="0" yWindow="0" windowWidth="9500" windowHeight="6600" activeTab="1"/>
  </bookViews>
  <sheets>
    <sheet name="Assurances_Auto" sheetId="1" r:id="rId1"/>
    <sheet name="partie2" sheetId="3" r:id="rId2"/>
    <sheet name="dashboard" sheetId="4" r:id="rId3"/>
  </sheets>
  <definedNames>
    <definedName name="_xlchart.v1.0" hidden="1">partie2!$A$19:$A$22</definedName>
    <definedName name="_xlchart.v1.1" hidden="1">partie2!$B$17:$B$18</definedName>
    <definedName name="_xlchart.v1.2" hidden="1">partie2!$B$19:$B$22</definedName>
    <definedName name="_xlchart.v1.3" hidden="1">partie2!$A$19:$A$22</definedName>
    <definedName name="_xlchart.v1.4" hidden="1">partie2!$B$17:$B$18</definedName>
    <definedName name="_xlchart.v1.5" hidden="1">partie2!$B$19:$B$22</definedName>
    <definedName name="datas" localSheetId="0">Assurances_Auto!$A$1:$Q$41</definedName>
  </definedNames>
  <calcPr calcId="162913"/>
  <pivotCaches>
    <pivotCache cacheId="1" r:id="rId4"/>
    <pivotCache cacheId="15" r:id="rId5"/>
  </pivotCaches>
</workbook>
</file>

<file path=xl/calcChain.xml><?xml version="1.0" encoding="utf-8"?>
<calcChain xmlns="http://schemas.openxmlformats.org/spreadsheetml/2006/main">
  <c r="Q41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V2" i="1"/>
  <c r="W2" i="1"/>
  <c r="V38" i="1"/>
  <c r="V39" i="1"/>
  <c r="V40" i="1"/>
  <c r="V41" i="1"/>
  <c r="V32" i="1"/>
  <c r="V33" i="1"/>
  <c r="V34" i="1"/>
  <c r="V35" i="1"/>
  <c r="V36" i="1"/>
  <c r="V3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U2" i="1"/>
  <c r="T2" i="1"/>
  <c r="S2" i="1"/>
  <c r="Q2" i="1"/>
  <c r="N41" i="1"/>
  <c r="O41" i="1" s="1"/>
  <c r="P41" i="1" s="1"/>
  <c r="N3" i="1"/>
  <c r="N4" i="1"/>
  <c r="N5" i="1"/>
  <c r="O5" i="1" s="1"/>
  <c r="P5" i="1" s="1"/>
  <c r="Q5" i="1" s="1"/>
  <c r="N6" i="1"/>
  <c r="O6" i="1" s="1"/>
  <c r="P6" i="1" s="1"/>
  <c r="Q6" i="1" s="1"/>
  <c r="N7" i="1"/>
  <c r="N8" i="1"/>
  <c r="N9" i="1"/>
  <c r="O9" i="1" s="1"/>
  <c r="P9" i="1" s="1"/>
  <c r="Q9" i="1" s="1"/>
  <c r="N10" i="1"/>
  <c r="O10" i="1" s="1"/>
  <c r="P10" i="1" s="1"/>
  <c r="Q10" i="1" s="1"/>
  <c r="N11" i="1"/>
  <c r="N12" i="1"/>
  <c r="N13" i="1"/>
  <c r="O13" i="1" s="1"/>
  <c r="P13" i="1" s="1"/>
  <c r="Q13" i="1" s="1"/>
  <c r="N14" i="1"/>
  <c r="O14" i="1" s="1"/>
  <c r="P14" i="1" s="1"/>
  <c r="Q14" i="1" s="1"/>
  <c r="N15" i="1"/>
  <c r="N16" i="1"/>
  <c r="N17" i="1"/>
  <c r="O17" i="1" s="1"/>
  <c r="P17" i="1" s="1"/>
  <c r="Q17" i="1" s="1"/>
  <c r="N18" i="1"/>
  <c r="O18" i="1" s="1"/>
  <c r="P18" i="1" s="1"/>
  <c r="Q18" i="1" s="1"/>
  <c r="N19" i="1"/>
  <c r="N20" i="1"/>
  <c r="N21" i="1"/>
  <c r="O21" i="1" s="1"/>
  <c r="P21" i="1" s="1"/>
  <c r="Q21" i="1" s="1"/>
  <c r="N22" i="1"/>
  <c r="O22" i="1" s="1"/>
  <c r="P22" i="1" s="1"/>
  <c r="Q22" i="1" s="1"/>
  <c r="N23" i="1"/>
  <c r="N24" i="1"/>
  <c r="N25" i="1"/>
  <c r="O25" i="1" s="1"/>
  <c r="P25" i="1" s="1"/>
  <c r="Q25" i="1" s="1"/>
  <c r="N26" i="1"/>
  <c r="O26" i="1" s="1"/>
  <c r="P26" i="1" s="1"/>
  <c r="Q26" i="1" s="1"/>
  <c r="N27" i="1"/>
  <c r="N28" i="1"/>
  <c r="N29" i="1"/>
  <c r="O29" i="1" s="1"/>
  <c r="P29" i="1" s="1"/>
  <c r="Q29" i="1" s="1"/>
  <c r="N30" i="1"/>
  <c r="O30" i="1" s="1"/>
  <c r="P30" i="1" s="1"/>
  <c r="Q30" i="1" s="1"/>
  <c r="N31" i="1"/>
  <c r="N32" i="1"/>
  <c r="N33" i="1"/>
  <c r="O33" i="1" s="1"/>
  <c r="P33" i="1" s="1"/>
  <c r="Q33" i="1" s="1"/>
  <c r="N34" i="1"/>
  <c r="O34" i="1" s="1"/>
  <c r="P34" i="1" s="1"/>
  <c r="Q34" i="1" s="1"/>
  <c r="N35" i="1"/>
  <c r="N36" i="1"/>
  <c r="N37" i="1"/>
  <c r="O37" i="1" s="1"/>
  <c r="P37" i="1" s="1"/>
  <c r="Q37" i="1" s="1"/>
  <c r="N38" i="1"/>
  <c r="O38" i="1" s="1"/>
  <c r="P38" i="1" s="1"/>
  <c r="Q38" i="1" s="1"/>
  <c r="N39" i="1"/>
  <c r="N40" i="1"/>
  <c r="N2" i="1"/>
  <c r="R2" i="1"/>
  <c r="P3" i="1"/>
  <c r="Q3" i="1" s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O3" i="1"/>
  <c r="O4" i="1"/>
  <c r="P4" i="1" s="1"/>
  <c r="Q4" i="1" s="1"/>
  <c r="O7" i="1"/>
  <c r="O8" i="1"/>
  <c r="P8" i="1" s="1"/>
  <c r="Q8" i="1" s="1"/>
  <c r="O11" i="1"/>
  <c r="O12" i="1"/>
  <c r="P12" i="1" s="1"/>
  <c r="Q12" i="1" s="1"/>
  <c r="O15" i="1"/>
  <c r="O16" i="1"/>
  <c r="P16" i="1" s="1"/>
  <c r="Q16" i="1" s="1"/>
  <c r="O19" i="1"/>
  <c r="O20" i="1"/>
  <c r="P20" i="1" s="1"/>
  <c r="Q20" i="1" s="1"/>
  <c r="O23" i="1"/>
  <c r="O24" i="1"/>
  <c r="P24" i="1" s="1"/>
  <c r="Q24" i="1" s="1"/>
  <c r="O27" i="1"/>
  <c r="O28" i="1"/>
  <c r="P28" i="1" s="1"/>
  <c r="Q28" i="1" s="1"/>
  <c r="O31" i="1"/>
  <c r="O32" i="1"/>
  <c r="P32" i="1" s="1"/>
  <c r="Q32" i="1" s="1"/>
  <c r="O35" i="1"/>
  <c r="O36" i="1"/>
  <c r="P36" i="1" s="1"/>
  <c r="Q36" i="1" s="1"/>
  <c r="O39" i="1"/>
  <c r="O40" i="1"/>
  <c r="P40" i="1" s="1"/>
  <c r="Q40" i="1" s="1"/>
  <c r="O2" i="1"/>
  <c r="P2" i="1" s="1"/>
</calcChain>
</file>

<file path=xl/sharedStrings.xml><?xml version="1.0" encoding="utf-8"?>
<sst xmlns="http://schemas.openxmlformats.org/spreadsheetml/2006/main" count="348" uniqueCount="175">
  <si>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</si>
  <si>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</si>
  <si>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</si>
  <si>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</si>
  <si>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</si>
  <si>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</si>
  <si>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</si>
  <si>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</si>
  <si>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</si>
  <si>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</si>
  <si>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</si>
  <si>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</si>
  <si>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</si>
  <si>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</si>
  <si>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</si>
  <si>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</si>
  <si>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</si>
  <si>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</si>
  <si>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</si>
  <si>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</si>
  <si>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</si>
  <si>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</si>
  <si>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</si>
  <si>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</si>
  <si>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</si>
  <si>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</si>
  <si>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</si>
  <si>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</si>
  <si>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</si>
  <si>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</si>
  <si>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</si>
  <si>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</si>
  <si>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</si>
  <si>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</si>
  <si>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</si>
  <si>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</si>
  <si>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</si>
  <si>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</si>
  <si>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</si>
  <si>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</si>
  <si>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</si>
  <si>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</si>
  <si>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</si>
  <si>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</si>
  <si>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</si>
  <si>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</si>
  <si>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</si>
  <si>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</si>
  <si>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</si>
  <si>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</si>
  <si>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</si>
  <si>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</si>
  <si>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</si>
  <si>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</si>
  <si>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</si>
  <si>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</si>
  <si>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</si>
  <si>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</si>
  <si>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</si>
  <si>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</si>
  <si>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</si>
  <si>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</si>
  <si>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</si>
  <si>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</si>
  <si>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</si>
  <si>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</si>
  <si>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</si>
  <si>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</si>
  <si>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</si>
  <si>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</si>
  <si>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</si>
  <si>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</si>
  <si>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</si>
  <si>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</si>
  <si>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</si>
  <si>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</si>
  <si>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</si>
  <si>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</si>
  <si>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</si>
  <si>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</si>
  <si>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</si>
  <si>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</si>
  <si>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</si>
  <si>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</si>
  <si>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</si>
  <si>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</si>
  <si>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</si>
  <si>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</si>
  <si>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</si>
  <si>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</si>
  <si>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</si>
  <si>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</si>
  <si>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</si>
  <si>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</si>
  <si>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</si>
  <si>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</si>
  <si>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</si>
  <si>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</si>
  <si>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</si>
  <si>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</si>
  <si>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</si>
  <si>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</si>
  <si>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</si>
  <si>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</si>
  <si>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</si>
  <si>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</si>
  <si>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</si>
  <si>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</si>
  <si>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</si>
  <si>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</si>
  <si>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</si>
  <si>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</si>
  <si>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</si>
  <si>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</si>
  <si>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</si>
  <si>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</si>
  <si>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</si>
  <si>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</si>
  <si>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</si>
  <si>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</si>
  <si>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</si>
  <si>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</si>
  <si>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</si>
  <si>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</si>
  <si>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</si>
  <si>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</si>
  <si>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</si>
  <si>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</si>
  <si>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</si>
  <si>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</si>
  <si>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</si>
  <si>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</si>
  <si>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</si>
  <si>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</si>
  <si>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</si>
  <si>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</si>
  <si>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</si>
  <si>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</si>
  <si>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</si>
  <si>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</si>
  <si>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</si>
  <si>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</si>
  <si>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</si>
  <si>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</si>
  <si>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</si>
  <si>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</si>
  <si>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</si>
  <si>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</si>
  <si>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</si>
  <si>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</si>
  <si>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</si>
  <si>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</si>
  <si>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</si>
  <si>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</si>
  <si>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</si>
  <si>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Nomber_contrats</t>
  </si>
  <si>
    <t>Nombere_vehicule</t>
  </si>
  <si>
    <t>prime_totale_ouarzazate</t>
  </si>
  <si>
    <t>prime_totale_Camion</t>
  </si>
  <si>
    <t>Classeur</t>
  </si>
  <si>
    <t>Row Labels</t>
  </si>
  <si>
    <t>Grand Total</t>
  </si>
  <si>
    <t>Sum of Prime_Totale</t>
  </si>
  <si>
    <t>Sum of ID_Client</t>
  </si>
  <si>
    <t>Average of Prime_Totale</t>
  </si>
  <si>
    <t>Premium</t>
  </si>
  <si>
    <t>VIP</t>
  </si>
  <si>
    <t>Count of ID_Client</t>
  </si>
  <si>
    <t>Total des primes par Type_Assurance</t>
  </si>
  <si>
    <t>Nombre de contrats par Ville</t>
  </si>
  <si>
    <t>Prime moyenne par Type_Vehicule</t>
  </si>
  <si>
    <t xml:space="preserve">Répartition des clients par Statut </t>
  </si>
  <si>
    <t>Total des primes par Mois</t>
  </si>
  <si>
    <t>jan</t>
  </si>
  <si>
    <t>Top 5 clients par Prime_Totale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</si>
</sst>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Border="1"/>
    <xf numFmtId="0" fontId="0" fillId="0" borderId="1" xfId="0" applyBorder="1"/>
    <xf numFmtId="10" fontId="1" fillId="2" borderId="1" xfId="1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2" xfId="0" applyBorder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3" fillId="3" borderId="3" xfId="0" applyFont="1" applyFill="1" applyBorder="1"/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[CC02_laila_abda.xlsx]partie2!PivotTable2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des primes par Type_Assurance</a:t>
            </a:r>
          </a:p>
        </c:rich>
      </c:tx>
      <c:layout>
        <c:manualLayout>
          <c:xMode val="edge"/>
          <c:yMode val="edge"/>
          <c:x val="0.32016339869281046"/>
          <c:y val="9.3086531722801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partie2!$B$2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partie2!$A$3:$A$6</c:f>
              <c:strCache>
                <c:ptCount val="3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</c:strCache>
            </c:strRef>
          </c:cat>
          <c:val>
            <c:numRef>
              <c:f>partie2!$B$3:$B$6</c:f>
              <c:numCache>
                <c:formatCode>General</c:formatCode>
                <c:ptCount val="3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6-4F73-AD33-35ABD4700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953391"/>
        <c:axId val="1178954223"/>
      </c:barChart>
      <c:catAx>
        <c:axId val="11789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954223"/>
        <c:crosses val="autoZero"/>
        <c:auto val="1"/>
        <c:lblAlgn val="ctr"/>
        <c:lblOffset val="100"/>
        <c:noMultiLvlLbl val="0"/>
      </c:catAx>
      <c:valAx>
        <c:axId val="11789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953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[CC02_laila_abda.xlsx]partie2!PivotTable1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contrats par Ville</a:t>
            </a:r>
          </a:p>
        </c:rich>
      </c:tx>
      <c:layout>
        <c:manualLayout>
          <c:xMode val="edge"/>
          <c:yMode val="edge"/>
          <c:x val="0.23256637168141597"/>
          <c:y val="0.11493154384725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layout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partie2!$E$7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F0B-4468-AEEC-9002011B13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F0B-4468-AEEC-9002011B13A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F0B-4468-AEEC-9002011B13A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F0B-4468-AEEC-9002011B13A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CF0B-4468-AEEC-9002011B13A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CF0B-4468-AEEC-9002011B13AE}"/>
              </c:ext>
            </c:extLst>
          </c:dPt>
          <c:dLbls>
            <c:delete val="1"/>
          </c:dLbls>
          <c:cat>
            <c:strRef>
              <c:f>partie2!$D$8:$D$14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partie2!$E$8:$E$14</c:f>
              <c:numCache>
                <c:formatCode>General</c:formatCode>
                <c:ptCount val="6"/>
                <c:pt idx="0">
                  <c:v>166</c:v>
                </c:pt>
                <c:pt idx="1">
                  <c:v>179</c:v>
                </c:pt>
                <c:pt idx="2">
                  <c:v>8</c:v>
                </c:pt>
                <c:pt idx="3">
                  <c:v>158</c:v>
                </c:pt>
                <c:pt idx="4">
                  <c:v>135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0B-4468-AEEC-9002011B13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[CC02_laila_abda.xlsx]partie2!PivotTable4</c:name>
    <c:fmtId val="2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45076490438695155"/>
          <c:y val="0.28790007892370095"/>
          <c:w val="0.37813976377952757"/>
          <c:h val="0.6608178697942477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partie2!$E$25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partie2!$D$26:$D$28</c:f>
              <c:strCache>
                <c:ptCount val="2"/>
                <c:pt idx="0">
                  <c:v>Premium</c:v>
                </c:pt>
                <c:pt idx="1">
                  <c:v>VIP</c:v>
                </c:pt>
              </c:strCache>
            </c:strRef>
          </c:cat>
          <c:val>
            <c:numRef>
              <c:f>partie2!$E$26:$E$28</c:f>
              <c:numCache>
                <c:formatCode>General</c:formatCode>
                <c:ptCount val="2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2-49C3-9B22-73D09C9C62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78930927"/>
        <c:axId val="1178927599"/>
      </c:barChart>
      <c:catAx>
        <c:axId val="117893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927599"/>
        <c:crosses val="autoZero"/>
        <c:auto val="1"/>
        <c:lblAlgn val="ctr"/>
        <c:lblOffset val="100"/>
        <c:noMultiLvlLbl val="0"/>
      </c:catAx>
      <c:valAx>
        <c:axId val="117892759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78930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[CC02_laila_abda.xlsx]partie2!PivotTable6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partie2!$E$36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partie2!$D$37:$D$42</c:f>
              <c:strCache>
                <c:ptCount val="5"/>
                <c:pt idx="0">
                  <c:v>Ait Brahim</c:v>
                </c:pt>
                <c:pt idx="1">
                  <c:v>El Hachimi</c:v>
                </c:pt>
                <c:pt idx="2">
                  <c:v>Karrouchi</c:v>
                </c:pt>
                <c:pt idx="3">
                  <c:v>Kouhen</c:v>
                </c:pt>
                <c:pt idx="4">
                  <c:v>Ouhmid</c:v>
                </c:pt>
              </c:strCache>
            </c:strRef>
          </c:cat>
          <c:val>
            <c:numRef>
              <c:f>partie2!$E$37:$E$42</c:f>
              <c:numCache>
                <c:formatCode>General</c:formatCode>
                <c:ptCount val="5"/>
                <c:pt idx="0">
                  <c:v>14400</c:v>
                </c:pt>
                <c:pt idx="1">
                  <c:v>14580</c:v>
                </c:pt>
                <c:pt idx="2">
                  <c:v>16020</c:v>
                </c:pt>
                <c:pt idx="3">
                  <c:v>13860</c:v>
                </c:pt>
                <c:pt idx="4">
                  <c:v>15300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0-469B-B38F-D0478601C0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8058639"/>
        <c:axId val="1168047407"/>
      </c:lineChart>
      <c:catAx>
        <c:axId val="116805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8047407"/>
        <c:crosses val="autoZero"/>
        <c:auto val="1"/>
        <c:lblAlgn val="ctr"/>
        <c:lblOffset val="100"/>
        <c:noMultiLvlLbl val="0"/>
      </c:catAx>
      <c:valAx>
        <c:axId val="11680474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805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[CC02_laila_abda.xlsx]partie2!PivotTable5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des primes par Mois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7510529207104926"/>
          <c:y val="0.26532188684747737"/>
          <c:w val="0.34719805373165563"/>
          <c:h val="0.44512613006707497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partie2!$B$31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partie2!$A$32:$A$33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partie2!$B$32:$B$33</c:f>
              <c:numCache>
                <c:formatCode>General</c:formatCode>
                <c:ptCount val="1"/>
                <c:pt idx="0">
                  <c:v>391920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0-44E8-B08E-6EDE52B4B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8928015"/>
        <c:axId val="1178937167"/>
        <c:axId val="0"/>
      </c:bar3DChart>
      <c:catAx>
        <c:axId val="117892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937167"/>
        <c:crosses val="autoZero"/>
        <c:auto val="1"/>
        <c:lblAlgn val="ctr"/>
        <c:lblOffset val="100"/>
        <c:noMultiLvlLbl val="0"/>
      </c:catAx>
      <c:valAx>
        <c:axId val="117893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928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fr-FR"/>
              <a:t>Prime moyenne par Type_Vehicule</a:t>
            </a:r>
          </a:p>
        </cx:rich>
      </cx:tx>
    </cx:title>
    <cx:plotArea>
      <cx:plotAreaRegion>
        <cx:series layoutId="waterfall" uniqueId="{E9FF5E16-74AA-4AF0-95BF-8B252778D117}">
          <cx:tx>
            <cx:txData>
              <cx:f>_xlchart.v1.1</cx:f>
              <cx:v>Average of Prime_Totale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image" Target="../media/image1.web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431800</xdr:colOff>
      <xdr:row>0</xdr:row>
      <xdr:rowOff>146050</xdr:rowOff>
    </xdr:from>
    <xdr:ext cx="6908800" cy="406400"/>
    <xdr:sp macro="" textlink="">
      <xdr:nvSpPr>
        <xdr:cNvPr id="3" name="Rectangle : coins arrondis 2">
          <a:extLst/>
        </xdr:cNvPr>
        <xdr:cNvSpPr/>
      </xdr:nvSpPr>
      <xdr:spPr>
        <a:xfrm>
          <a:off x="1651000" y="146050"/>
          <a:ext cx="6908800" cy="406400"/>
        </a:xfrm>
        <a:prstGeom prst="roundRect">
          <a:avLst>
            <a:gd name="adj" fmla="val 50000"/>
          </a:avLst>
        </a:prstGeom>
        <a:solidFill>
          <a:schemeClr val="bg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fr-FR"/>
            <a:t>tableau de bord </a:t>
          </a:r>
          <a:endParaRPr lang="fr-FR" sz="1100"/>
        </a:p>
      </xdr:txBody>
    </xdr:sp>
    <xdr:clientData fLocksWithSheet="0"/>
  </xdr:oneCellAnchor>
  <xdr:twoCellAnchor>
    <xdr:from>
      <xdr:col>2</xdr:col>
      <xdr:colOff>0</xdr:colOff>
      <xdr:row>4</xdr:row>
      <xdr:rowOff>76200</xdr:rowOff>
    </xdr:from>
    <xdr:to>
      <xdr:col>8</xdr:col>
      <xdr:colOff>228600</xdr:colOff>
      <xdr:row>17</xdr:row>
      <xdr:rowOff>107950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4</xdr:row>
      <xdr:rowOff>57150</xdr:rowOff>
    </xdr:from>
    <xdr:to>
      <xdr:col>14</xdr:col>
      <xdr:colOff>501650</xdr:colOff>
      <xdr:row>17</xdr:row>
      <xdr:rowOff>69850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18</xdr:row>
      <xdr:rowOff>95250</xdr:rowOff>
    </xdr:from>
    <xdr:to>
      <xdr:col>8</xdr:col>
      <xdr:colOff>292100</xdr:colOff>
      <xdr:row>33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533400</xdr:colOff>
      <xdr:row>18</xdr:row>
      <xdr:rowOff>88900</xdr:rowOff>
    </xdr:from>
    <xdr:to>
      <xdr:col>14</xdr:col>
      <xdr:colOff>431800</xdr:colOff>
      <xdr:row>33</xdr:row>
      <xdr:rowOff>50800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571500</xdr:colOff>
      <xdr:row>34</xdr:row>
      <xdr:rowOff>139700</xdr:rowOff>
    </xdr:from>
    <xdr:to>
      <xdr:col>14</xdr:col>
      <xdr:colOff>533400</xdr:colOff>
      <xdr:row>49</xdr:row>
      <xdr:rowOff>120650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50800</xdr:colOff>
      <xdr:row>34</xdr:row>
      <xdr:rowOff>25400</xdr:rowOff>
    </xdr:from>
    <xdr:to>
      <xdr:col>8</xdr:col>
      <xdr:colOff>215900</xdr:colOff>
      <xdr:row>49</xdr:row>
      <xdr:rowOff>6350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596900</xdr:colOff>
      <xdr:row>0</xdr:row>
      <xdr:rowOff>177800</xdr:rowOff>
    </xdr:from>
    <xdr:to>
      <xdr:col>10</xdr:col>
      <xdr:colOff>450850</xdr:colOff>
      <xdr:row>2</xdr:row>
      <xdr:rowOff>120650</xdr:rowOff>
    </xdr:to>
    <xdr:sp macro="" textlink="">
      <xdr:nvSpPr>
        <xdr:cNvPr id="11" name="TextBox 10"/>
        <xdr:cNvSpPr txBox="1"/>
      </xdr:nvSpPr>
      <xdr:spPr>
        <a:xfrm>
          <a:off x="3644900" y="177800"/>
          <a:ext cx="2901950" cy="31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 i="1">
              <a:latin typeface="Arial Black" panose="020B0A04020102020204" pitchFamily="34" charset="0"/>
            </a:rPr>
            <a:t>tableau de bord </a:t>
          </a:r>
        </a:p>
      </xdr:txBody>
    </xdr:sp>
    <xdr:clientData/>
  </xdr:twoCellAnchor>
  <xdr:twoCellAnchor editAs="oneCell">
    <xdr:from>
      <xdr:col>0</xdr:col>
      <xdr:colOff>171451</xdr:colOff>
      <xdr:row>0</xdr:row>
      <xdr:rowOff>57150</xdr:rowOff>
    </xdr:from>
    <xdr:to>
      <xdr:col>2</xdr:col>
      <xdr:colOff>21457</xdr:colOff>
      <xdr:row>6</xdr:row>
      <xdr:rowOff>44450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57150"/>
          <a:ext cx="1069206" cy="10922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21.436210879627" createdVersion="6" refreshedVersion="6" minRefreshableVersion="3" recordCount="40">
  <cacheSource type="worksheet">
    <worksheetSource ref="A1:Q41" sheet="Assurances_Auto"/>
  </cacheSource>
  <cacheFields count="17">
    <cacheField name="ID_Client" numFmtId="0">
      <sharedItems containsSemiMixedTypes="0" containsString="0" containsNumber="1" containsInteger="1" minValue="1" maxValue="40"/>
    </cacheField>
    <cacheField name="Nom" numFmtId="0">
      <sharedItems/>
    </cacheField>
    <cacheField name="Prénom" numFmtId="0">
      <sharedItems/>
    </cacheField>
    <cacheField name="CIN" numFmtId="0">
      <sharedItems/>
    </cacheField>
    <cacheField name="Ville" numFmtId="0">
      <sharedItems/>
    </cacheField>
    <cacheField name="Type_Vehicule" numFmtId="0">
      <sharedItems/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/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10">
      <sharedItems containsSemiMixedTypes="0" containsString="0" containsNumber="1" minValue="0.03" maxValue="0.06"/>
    </cacheField>
    <cacheField name="Montant_Risque" numFmtId="0">
      <sharedItems containsSemiMixedTypes="0" containsString="0" containsNumber="1" containsInteger="1" minValue="2970" maxValue="12240"/>
    </cacheField>
    <cacheField name="Prime_Totale" numFmtId="0">
      <sharedItems containsSemiMixedTypes="0" containsString="0" containsNumber="1" containsInteger="1" minValue="4650" maxValue="16020"/>
    </cacheField>
    <cacheField name="Statut_Cli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21.442785300926" createdVersion="6" refreshedVersion="6" minRefreshableVersion="3" recordCount="40">
  <cacheSource type="worksheet">
    <worksheetSource name="datas" sheet="Assurances_Auto"/>
  </cacheSource>
  <cacheFields count="17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/>
    </cacheField>
    <cacheField name="CIN" numFmtId="0">
      <sharedItems/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/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  <fieldGroup base="10">
        <rangePr groupBy="months" startDate="2025-01-01T00:00:00" endDate="2025-01-29T00:00:00"/>
        <groupItems count="14">
          <s v="&lt;01/01/2025"/>
          <s v="jan"/>
          <s v="fév"/>
          <s v="mar"/>
          <s v="avr"/>
          <s v="mai"/>
          <s v="jui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10">
      <sharedItems containsSemiMixedTypes="0" containsString="0" containsNumber="1" minValue="0.03" maxValue="0.06"/>
    </cacheField>
    <cacheField name="Montant_Risque" numFmtId="0">
      <sharedItems containsSemiMixedTypes="0" containsString="0" containsNumber="1" containsInteger="1" minValue="2970" maxValue="12240"/>
    </cacheField>
    <cacheField name="Prime_Totale" numFmtId="0">
      <sharedItems containsSemiMixedTypes="0" containsString="0" containsNumber="1" containsInteger="1" minValue="4650" maxValue="16020"/>
    </cacheField>
    <cacheField name="Statut_Client" numFmtId="0">
      <sharedItems count="2">
        <s v="VIP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1"/>
    <s v="El Amrani"/>
    <s v="Youssef"/>
    <s v="AB00001"/>
    <s v="Ouarzazate"/>
    <s v="Moto"/>
    <s v="Renault"/>
    <n v="2011"/>
    <n v="93000"/>
    <x v="0"/>
    <d v="2025-01-02T00:00:00"/>
    <n v="12"/>
    <n v="1560"/>
    <n v="0.05"/>
    <n v="4650"/>
    <n v="6210"/>
    <s v="VIP"/>
  </r>
  <r>
    <n v="2"/>
    <s v="Ait Lahcen"/>
    <s v="Fatima"/>
    <s v="AB00002"/>
    <s v="Ouarzazate"/>
    <s v="Camion"/>
    <s v="Toyota"/>
    <n v="2012"/>
    <n v="96000"/>
    <x v="1"/>
    <d v="2025-01-03T00:00:00"/>
    <n v="12"/>
    <n v="1620"/>
    <n v="0.06"/>
    <n v="5760"/>
    <n v="7380"/>
    <s v="VIP"/>
  </r>
  <r>
    <n v="3"/>
    <s v="Benali"/>
    <s v="Ahmed"/>
    <s v="AB00003"/>
    <s v="Marrakech"/>
    <s v="Voiture"/>
    <s v="Hyundai"/>
    <n v="2013"/>
    <n v="99000"/>
    <x v="2"/>
    <d v="2025-01-04T00:00:00"/>
    <n v="12"/>
    <n v="1680"/>
    <n v="0.03"/>
    <n v="2970"/>
    <n v="4650"/>
    <s v="Premium"/>
  </r>
  <r>
    <n v="4"/>
    <s v="El Idrissi"/>
    <s v="Salma"/>
    <s v="AB00004"/>
    <s v="Rabat"/>
    <s v="Moto"/>
    <s v="Ford"/>
    <n v="2014"/>
    <n v="102000"/>
    <x v="0"/>
    <d v="2025-01-05T00:00:00"/>
    <n v="12"/>
    <n v="1740"/>
    <n v="0.05"/>
    <n v="5100"/>
    <n v="6840"/>
    <s v="VIP"/>
  </r>
  <r>
    <n v="5"/>
    <s v="Chraibi"/>
    <s v="Mohamed"/>
    <s v="AB00005"/>
    <s v="Casablanca"/>
    <s v="Camion"/>
    <s v="Peugeot"/>
    <n v="2015"/>
    <n v="105000"/>
    <x v="1"/>
    <d v="2025-01-06T00:00:00"/>
    <n v="12"/>
    <n v="1800"/>
    <n v="0.06"/>
    <n v="6300"/>
    <n v="8100"/>
    <s v="VIP"/>
  </r>
  <r>
    <n v="6"/>
    <s v="Tahiri"/>
    <s v="Khadija"/>
    <s v="AB00006"/>
    <s v="Agadir"/>
    <s v="Voiture"/>
    <s v="Dacia"/>
    <n v="2016"/>
    <n v="108000"/>
    <x v="2"/>
    <d v="2025-01-07T00:00:00"/>
    <n v="12"/>
    <n v="1860"/>
    <n v="0.03"/>
    <n v="3240"/>
    <n v="5100"/>
    <s v="VIP"/>
  </r>
  <r>
    <n v="7"/>
    <s v="Bennani"/>
    <s v="Omar"/>
    <s v="AB00007"/>
    <s v="Marrakech"/>
    <s v="Moto"/>
    <s v="Renault"/>
    <n v="2017"/>
    <n v="111000"/>
    <x v="0"/>
    <d v="2025-01-08T00:00:00"/>
    <n v="12"/>
    <n v="1920"/>
    <n v="0.05"/>
    <n v="5550"/>
    <n v="7470"/>
    <s v="VIP"/>
  </r>
  <r>
    <n v="8"/>
    <s v="El Fassi"/>
    <s v="Imane"/>
    <s v="AB00008"/>
    <s v="Fes"/>
    <s v="Camion"/>
    <s v="Toyota"/>
    <n v="2018"/>
    <n v="114000"/>
    <x v="1"/>
    <d v="2025-01-09T00:00:00"/>
    <n v="12"/>
    <n v="1980"/>
    <n v="0.06"/>
    <n v="6840"/>
    <n v="8820"/>
    <s v="VIP"/>
  </r>
  <r>
    <n v="9"/>
    <s v="Alaoui"/>
    <s v="Hassan"/>
    <s v="AB00009"/>
    <s v="Rabat"/>
    <s v="Voiture"/>
    <s v="Hyundai"/>
    <n v="2019"/>
    <n v="117000"/>
    <x v="2"/>
    <d v="2025-01-10T00:00:00"/>
    <n v="12"/>
    <n v="2040"/>
    <n v="0.03"/>
    <n v="3510"/>
    <n v="5550"/>
    <s v="VIP"/>
  </r>
  <r>
    <n v="10"/>
    <s v="Zerouali"/>
    <s v="Nadia"/>
    <s v="AB00010"/>
    <s v="Agadir"/>
    <s v="Moto"/>
    <s v="Ford"/>
    <n v="2020"/>
    <n v="120000"/>
    <x v="0"/>
    <d v="2025-01-11T00:00:00"/>
    <n v="12"/>
    <n v="2100"/>
    <n v="0.05"/>
    <n v="6000"/>
    <n v="8100"/>
    <s v="VIP"/>
  </r>
  <r>
    <n v="11"/>
    <s v="Skalli"/>
    <s v="Abdelilah"/>
    <s v="AB00011"/>
    <s v="Casablanca"/>
    <s v="Camion"/>
    <s v="Peugeot"/>
    <n v="2021"/>
    <n v="123000"/>
    <x v="1"/>
    <d v="2025-01-12T00:00:00"/>
    <n v="12"/>
    <n v="2160"/>
    <n v="0.06"/>
    <n v="7380"/>
    <n v="9540"/>
    <s v="VIP"/>
  </r>
  <r>
    <n v="12"/>
    <s v="Raji"/>
    <s v="Siham"/>
    <s v="AB00012"/>
    <s v="Marrakech"/>
    <s v="Voiture"/>
    <s v="Dacia"/>
    <n v="2022"/>
    <n v="126000"/>
    <x v="2"/>
    <d v="2025-01-13T00:00:00"/>
    <n v="12"/>
    <n v="2220"/>
    <n v="0.03"/>
    <n v="3780"/>
    <n v="6000"/>
    <s v="VIP"/>
  </r>
  <r>
    <n v="13"/>
    <s v="Ouahbi"/>
    <s v="Anas"/>
    <s v="AB00013"/>
    <s v="Ouarzazate"/>
    <s v="Moto"/>
    <s v="Renault"/>
    <n v="2023"/>
    <n v="129000"/>
    <x v="0"/>
    <d v="2025-01-14T00:00:00"/>
    <n v="12"/>
    <n v="2280"/>
    <n v="0.05"/>
    <n v="6450"/>
    <n v="8730"/>
    <s v="VIP"/>
  </r>
  <r>
    <n v="14"/>
    <s v="Amine"/>
    <s v="Soukaina"/>
    <s v="AB00014"/>
    <s v="Agadir"/>
    <s v="Camion"/>
    <s v="Toyota"/>
    <n v="2010"/>
    <n v="132000"/>
    <x v="1"/>
    <d v="2025-01-15T00:00:00"/>
    <n v="12"/>
    <n v="2340"/>
    <n v="0.06"/>
    <n v="7920"/>
    <n v="10260"/>
    <s v="VIP"/>
  </r>
  <r>
    <n v="15"/>
    <s v="Mouline"/>
    <s v="Rachid"/>
    <s v="AB00015"/>
    <s v="Casablanca"/>
    <s v="Voiture"/>
    <s v="Hyundai"/>
    <n v="2011"/>
    <n v="135000"/>
    <x v="2"/>
    <d v="2025-01-16T00:00:00"/>
    <n v="12"/>
    <n v="2400"/>
    <n v="0.03"/>
    <n v="4050"/>
    <n v="6450"/>
    <s v="VIP"/>
  </r>
  <r>
    <n v="16"/>
    <s v="Lahlou"/>
    <s v="Sara"/>
    <s v="AB00016"/>
    <s v="Rabat"/>
    <s v="Moto"/>
    <s v="Ford"/>
    <n v="2012"/>
    <n v="138000"/>
    <x v="0"/>
    <d v="2025-01-17T00:00:00"/>
    <n v="12"/>
    <n v="2460"/>
    <n v="0.05"/>
    <n v="6900"/>
    <n v="9360"/>
    <s v="VIP"/>
  </r>
  <r>
    <n v="17"/>
    <s v="Kabbaj"/>
    <s v="Yassine"/>
    <s v="AB00017"/>
    <s v="Marrakech"/>
    <s v="Camion"/>
    <s v="Peugeot"/>
    <n v="2013"/>
    <n v="141000"/>
    <x v="1"/>
    <d v="2025-01-18T00:00:00"/>
    <n v="12"/>
    <n v="2520"/>
    <n v="0.06"/>
    <n v="8460"/>
    <n v="10980"/>
    <s v="VIP"/>
  </r>
  <r>
    <n v="18"/>
    <s v="Bouzidi"/>
    <s v="Amina"/>
    <s v="AB00018"/>
    <s v="Ouarzazate"/>
    <s v="Voiture"/>
    <s v="Dacia"/>
    <n v="2014"/>
    <n v="144000"/>
    <x v="2"/>
    <d v="2025-01-19T00:00:00"/>
    <n v="12"/>
    <n v="2580"/>
    <n v="0.03"/>
    <n v="4320"/>
    <n v="6900"/>
    <s v="VIP"/>
  </r>
  <r>
    <n v="19"/>
    <s v="El Mansouri"/>
    <s v="Karim"/>
    <s v="AB00019"/>
    <s v="Agadir"/>
    <s v="Moto"/>
    <s v="Renault"/>
    <n v="2015"/>
    <n v="147000"/>
    <x v="0"/>
    <d v="2025-01-20T00:00:00"/>
    <n v="12"/>
    <n v="2640"/>
    <n v="0.05"/>
    <n v="7350"/>
    <n v="9990"/>
    <s v="VIP"/>
  </r>
  <r>
    <n v="20"/>
    <s v="Haddad"/>
    <s v="Latifa"/>
    <s v="AB00020"/>
    <s v="Casablanca"/>
    <s v="Camion"/>
    <s v="Toyota"/>
    <n v="2016"/>
    <n v="150000"/>
    <x v="1"/>
    <d v="2025-01-21T00:00:00"/>
    <n v="12"/>
    <n v="2700"/>
    <n v="0.06"/>
    <n v="9000"/>
    <n v="11700"/>
    <s v="VIP"/>
  </r>
  <r>
    <n v="21"/>
    <s v="Berrada"/>
    <s v="Ayoub"/>
    <s v="AB00021"/>
    <s v="Rabat"/>
    <s v="Voiture"/>
    <s v="Hyundai"/>
    <n v="2017"/>
    <n v="153000"/>
    <x v="2"/>
    <d v="2025-01-22T00:00:00"/>
    <n v="12"/>
    <n v="2760"/>
    <n v="0.03"/>
    <n v="4590"/>
    <n v="7350"/>
    <s v="VIP"/>
  </r>
  <r>
    <n v="22"/>
    <s v="Sbaai"/>
    <s v="Hanane"/>
    <s v="AB00022"/>
    <s v="Marrakech"/>
    <s v="Moto"/>
    <s v="Ford"/>
    <n v="2018"/>
    <n v="156000"/>
    <x v="0"/>
    <d v="2025-01-23T00:00:00"/>
    <n v="12"/>
    <n v="2820"/>
    <n v="0.05"/>
    <n v="7800"/>
    <n v="10620"/>
    <s v="VIP"/>
  </r>
  <r>
    <n v="23"/>
    <s v="Ghazali"/>
    <s v="Mehdi"/>
    <s v="AB00023"/>
    <s v="Agadir"/>
    <s v="Camion"/>
    <s v="Peugeot"/>
    <n v="2019"/>
    <n v="159000"/>
    <x v="1"/>
    <d v="2025-01-24T00:00:00"/>
    <n v="12"/>
    <n v="2880"/>
    <n v="0.06"/>
    <n v="9540"/>
    <n v="12420"/>
    <s v="VIP"/>
  </r>
  <r>
    <n v="24"/>
    <s v="Benkirane"/>
    <s v="Samir"/>
    <s v="AB00024"/>
    <s v="Rabat"/>
    <s v="Voiture"/>
    <s v="Dacia"/>
    <n v="2020"/>
    <n v="162000"/>
    <x v="2"/>
    <d v="2025-01-25T00:00:00"/>
    <n v="12"/>
    <n v="2940"/>
    <n v="0.03"/>
    <n v="4860"/>
    <n v="7800"/>
    <s v="VIP"/>
  </r>
  <r>
    <n v="25"/>
    <s v="El Khatib"/>
    <s v="Meriem"/>
    <s v="AB00025"/>
    <s v="Casablanca"/>
    <s v="Moto"/>
    <s v="Renault"/>
    <n v="2021"/>
    <n v="165000"/>
    <x v="0"/>
    <d v="2025-01-26T00:00:00"/>
    <n v="12"/>
    <n v="3000"/>
    <n v="0.05"/>
    <n v="8250"/>
    <n v="11250"/>
    <s v="VIP"/>
  </r>
  <r>
    <n v="26"/>
    <s v="Azizi"/>
    <s v="Hamza"/>
    <s v="AB00026"/>
    <s v="Ouarzazate"/>
    <s v="Camion"/>
    <s v="Toyota"/>
    <n v="2022"/>
    <n v="168000"/>
    <x v="1"/>
    <d v="2025-01-27T00:00:00"/>
    <n v="12"/>
    <n v="3060"/>
    <n v="0.06"/>
    <n v="10080"/>
    <n v="13140"/>
    <s v="VIP"/>
  </r>
  <r>
    <n v="27"/>
    <s v="Raiss"/>
    <s v="Nour"/>
    <s v="AB00027"/>
    <s v="Agadir"/>
    <s v="Voiture"/>
    <s v="Hyundai"/>
    <n v="2023"/>
    <n v="171000"/>
    <x v="2"/>
    <d v="2025-01-28T00:00:00"/>
    <n v="12"/>
    <n v="3120"/>
    <n v="0.03"/>
    <n v="5130"/>
    <n v="8250"/>
    <s v="VIP"/>
  </r>
  <r>
    <n v="28"/>
    <s v="Fadili"/>
    <s v="Abdelkader"/>
    <s v="AB00028"/>
    <s v="Marrakech"/>
    <s v="Moto"/>
    <s v="Ford"/>
    <n v="2010"/>
    <n v="174000"/>
    <x v="0"/>
    <d v="2025-01-01T00:00:00"/>
    <n v="12"/>
    <n v="3180"/>
    <n v="0.05"/>
    <n v="8700"/>
    <n v="11880"/>
    <s v="VIP"/>
  </r>
  <r>
    <n v="29"/>
    <s v="Kouhen"/>
    <s v="Lina"/>
    <s v="AB00029"/>
    <s v="Rabat"/>
    <s v="Camion"/>
    <s v="Peugeot"/>
    <n v="2011"/>
    <n v="177000"/>
    <x v="1"/>
    <d v="2025-01-02T00:00:00"/>
    <n v="12"/>
    <n v="3240"/>
    <n v="0.06"/>
    <n v="10620"/>
    <n v="13860"/>
    <s v="VIP"/>
  </r>
  <r>
    <n v="30"/>
    <s v="Smires"/>
    <s v="Younes"/>
    <s v="AB00030"/>
    <s v="Casablanca"/>
    <s v="Voiture"/>
    <s v="Dacia"/>
    <n v="2012"/>
    <n v="180000"/>
    <x v="2"/>
    <d v="2025-01-03T00:00:00"/>
    <n v="12"/>
    <n v="3300"/>
    <n v="0.03"/>
    <n v="5400"/>
    <n v="8700"/>
    <s v="VIP"/>
  </r>
  <r>
    <n v="31"/>
    <s v="Bounou"/>
    <s v="Ikram"/>
    <s v="AB00031"/>
    <s v="Agadir"/>
    <s v="Moto"/>
    <s v="Renault"/>
    <n v="2013"/>
    <n v="183000"/>
    <x v="0"/>
    <d v="2025-01-04T00:00:00"/>
    <n v="12"/>
    <n v="3360"/>
    <n v="0.05"/>
    <n v="9150"/>
    <n v="12510"/>
    <s v="VIP"/>
  </r>
  <r>
    <n v="32"/>
    <s v="El Hachimi"/>
    <s v="Said"/>
    <s v="AB00032"/>
    <s v="Marrakech"/>
    <s v="Camion"/>
    <s v="Toyota"/>
    <n v="2014"/>
    <n v="186000"/>
    <x v="1"/>
    <d v="2025-01-05T00:00:00"/>
    <n v="12"/>
    <n v="3420"/>
    <n v="0.06"/>
    <n v="11160"/>
    <n v="14580"/>
    <s v="VIP"/>
  </r>
  <r>
    <n v="33"/>
    <s v="Zayani"/>
    <s v="Rania"/>
    <s v="AB00033"/>
    <s v="Rabat"/>
    <s v="Voiture"/>
    <s v="Hyundai"/>
    <n v="2015"/>
    <n v="189000"/>
    <x v="2"/>
    <d v="2025-01-06T00:00:00"/>
    <n v="12"/>
    <n v="3480"/>
    <n v="0.03"/>
    <n v="5670"/>
    <n v="9150"/>
    <s v="VIP"/>
  </r>
  <r>
    <n v="34"/>
    <s v="Belaid"/>
    <s v="Yassir"/>
    <s v="AB00034"/>
    <s v="Casablanca"/>
    <s v="Moto"/>
    <s v="Ford"/>
    <n v="2016"/>
    <n v="192000"/>
    <x v="0"/>
    <d v="2025-01-07T00:00:00"/>
    <n v="12"/>
    <n v="3540"/>
    <n v="0.05"/>
    <n v="9600"/>
    <n v="13140"/>
    <s v="VIP"/>
  </r>
  <r>
    <n v="35"/>
    <s v="Ouhmid"/>
    <s v="Malika"/>
    <s v="AB00035"/>
    <s v="Ouarzazate"/>
    <s v="Camion"/>
    <s v="Peugeot"/>
    <n v="2017"/>
    <n v="195000"/>
    <x v="1"/>
    <d v="2025-01-08T00:00:00"/>
    <n v="12"/>
    <n v="3600"/>
    <n v="0.06"/>
    <n v="11700"/>
    <n v="15300"/>
    <s v="VIP"/>
  </r>
  <r>
    <n v="36"/>
    <s v="Hami"/>
    <s v="Reda"/>
    <s v="AB00036"/>
    <s v="Agadir"/>
    <s v="Voiture"/>
    <s v="Dacia"/>
    <n v="2018"/>
    <n v="198000"/>
    <x v="2"/>
    <d v="2025-01-09T00:00:00"/>
    <n v="12"/>
    <n v="3660"/>
    <n v="0.03"/>
    <n v="5940"/>
    <n v="9600"/>
    <s v="VIP"/>
  </r>
  <r>
    <n v="37"/>
    <s v="El Mouden"/>
    <s v="Jamal"/>
    <s v="AB00037"/>
    <s v="Marrakech"/>
    <s v="Moto"/>
    <s v="Renault"/>
    <n v="2019"/>
    <n v="201000"/>
    <x v="0"/>
    <d v="2025-01-10T00:00:00"/>
    <n v="12"/>
    <n v="3720"/>
    <n v="0.05"/>
    <n v="10050"/>
    <n v="13770"/>
    <s v="VIP"/>
  </r>
  <r>
    <n v="38"/>
    <s v="Karrouchi"/>
    <s v="Ilham"/>
    <s v="AB00038"/>
    <s v="Rabat"/>
    <s v="Camion"/>
    <s v="Toyota"/>
    <n v="2020"/>
    <n v="204000"/>
    <x v="1"/>
    <d v="2025-01-11T00:00:00"/>
    <n v="12"/>
    <n v="3780"/>
    <n v="0.06"/>
    <n v="12240"/>
    <n v="16020"/>
    <s v="VIP"/>
  </r>
  <r>
    <n v="39"/>
    <s v="Benchekroun"/>
    <s v="Adil"/>
    <s v="AB00039"/>
    <s v="Casablanca"/>
    <s v="Voiture"/>
    <s v="Hyundai"/>
    <n v="2021"/>
    <n v="207000"/>
    <x v="2"/>
    <d v="2025-01-12T00:00:00"/>
    <n v="12"/>
    <n v="3840"/>
    <n v="0.03"/>
    <n v="6210"/>
    <n v="10050"/>
    <s v="VIP"/>
  </r>
  <r>
    <n v="40"/>
    <s v="Ait Brahim"/>
    <s v="Naima"/>
    <s v="AB00040"/>
    <s v="Ouarzazate"/>
    <s v="Moto"/>
    <s v="Ford"/>
    <n v="2022"/>
    <n v="210000"/>
    <x v="0"/>
    <d v="2025-01-13T00:00:00"/>
    <n v="12"/>
    <n v="3900"/>
    <n v="0.05"/>
    <n v="10500"/>
    <n v="14400"/>
    <s v="VI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">
  <r>
    <n v="1"/>
    <x v="0"/>
    <s v="Youssef"/>
    <s v="AB00001"/>
    <x v="0"/>
    <x v="0"/>
    <s v="Renault"/>
    <n v="2011"/>
    <n v="93000"/>
    <s v="Tiers+"/>
    <x v="0"/>
    <n v="12"/>
    <n v="1560"/>
    <n v="0.05"/>
    <n v="4650"/>
    <n v="6210"/>
    <x v="0"/>
  </r>
  <r>
    <n v="2"/>
    <x v="1"/>
    <s v="Fatima"/>
    <s v="AB00002"/>
    <x v="0"/>
    <x v="1"/>
    <s v="Toyota"/>
    <n v="2012"/>
    <n v="96000"/>
    <s v="Tous Risques"/>
    <x v="1"/>
    <n v="12"/>
    <n v="1620"/>
    <n v="0.06"/>
    <n v="5760"/>
    <n v="7380"/>
    <x v="0"/>
  </r>
  <r>
    <n v="3"/>
    <x v="2"/>
    <s v="Ahmed"/>
    <s v="AB00003"/>
    <x v="1"/>
    <x v="2"/>
    <s v="Hyundai"/>
    <n v="2013"/>
    <n v="99000"/>
    <s v="Tiers"/>
    <x v="2"/>
    <n v="12"/>
    <n v="1680"/>
    <n v="0.03"/>
    <n v="2970"/>
    <n v="4650"/>
    <x v="1"/>
  </r>
  <r>
    <n v="4"/>
    <x v="3"/>
    <s v="Salma"/>
    <s v="AB00004"/>
    <x v="2"/>
    <x v="0"/>
    <s v="Ford"/>
    <n v="2014"/>
    <n v="102000"/>
    <s v="Tiers+"/>
    <x v="3"/>
    <n v="12"/>
    <n v="1740"/>
    <n v="0.05"/>
    <n v="5100"/>
    <n v="6840"/>
    <x v="0"/>
  </r>
  <r>
    <n v="5"/>
    <x v="4"/>
    <s v="Mohamed"/>
    <s v="AB00005"/>
    <x v="3"/>
    <x v="1"/>
    <s v="Peugeot"/>
    <n v="2015"/>
    <n v="105000"/>
    <s v="Tous Risques"/>
    <x v="4"/>
    <n v="12"/>
    <n v="1800"/>
    <n v="0.06"/>
    <n v="6300"/>
    <n v="8100"/>
    <x v="0"/>
  </r>
  <r>
    <n v="6"/>
    <x v="5"/>
    <s v="Khadija"/>
    <s v="AB00006"/>
    <x v="4"/>
    <x v="2"/>
    <s v="Dacia"/>
    <n v="2016"/>
    <n v="108000"/>
    <s v="Tiers"/>
    <x v="5"/>
    <n v="12"/>
    <n v="1860"/>
    <n v="0.03"/>
    <n v="3240"/>
    <n v="5100"/>
    <x v="0"/>
  </r>
  <r>
    <n v="7"/>
    <x v="6"/>
    <s v="Omar"/>
    <s v="AB00007"/>
    <x v="1"/>
    <x v="0"/>
    <s v="Renault"/>
    <n v="2017"/>
    <n v="111000"/>
    <s v="Tiers+"/>
    <x v="6"/>
    <n v="12"/>
    <n v="1920"/>
    <n v="0.05"/>
    <n v="5550"/>
    <n v="7470"/>
    <x v="0"/>
  </r>
  <r>
    <n v="8"/>
    <x v="7"/>
    <s v="Imane"/>
    <s v="AB00008"/>
    <x v="5"/>
    <x v="1"/>
    <s v="Toyota"/>
    <n v="2018"/>
    <n v="114000"/>
    <s v="Tous Risques"/>
    <x v="7"/>
    <n v="12"/>
    <n v="1980"/>
    <n v="0.06"/>
    <n v="6840"/>
    <n v="8820"/>
    <x v="0"/>
  </r>
  <r>
    <n v="9"/>
    <x v="8"/>
    <s v="Hassan"/>
    <s v="AB00009"/>
    <x v="2"/>
    <x v="2"/>
    <s v="Hyundai"/>
    <n v="2019"/>
    <n v="117000"/>
    <s v="Tiers"/>
    <x v="8"/>
    <n v="12"/>
    <n v="2040"/>
    <n v="0.03"/>
    <n v="3510"/>
    <n v="5550"/>
    <x v="0"/>
  </r>
  <r>
    <n v="10"/>
    <x v="9"/>
    <s v="Nadia"/>
    <s v="AB00010"/>
    <x v="4"/>
    <x v="0"/>
    <s v="Ford"/>
    <n v="2020"/>
    <n v="120000"/>
    <s v="Tiers+"/>
    <x v="9"/>
    <n v="12"/>
    <n v="2100"/>
    <n v="0.05"/>
    <n v="6000"/>
    <n v="8100"/>
    <x v="0"/>
  </r>
  <r>
    <n v="11"/>
    <x v="10"/>
    <s v="Abdelilah"/>
    <s v="AB00011"/>
    <x v="3"/>
    <x v="1"/>
    <s v="Peugeot"/>
    <n v="2021"/>
    <n v="123000"/>
    <s v="Tous Risques"/>
    <x v="10"/>
    <n v="12"/>
    <n v="2160"/>
    <n v="0.06"/>
    <n v="7380"/>
    <n v="9540"/>
    <x v="0"/>
  </r>
  <r>
    <n v="12"/>
    <x v="11"/>
    <s v="Siham"/>
    <s v="AB00012"/>
    <x v="1"/>
    <x v="2"/>
    <s v="Dacia"/>
    <n v="2022"/>
    <n v="126000"/>
    <s v="Tiers"/>
    <x v="11"/>
    <n v="12"/>
    <n v="2220"/>
    <n v="0.03"/>
    <n v="3780"/>
    <n v="6000"/>
    <x v="0"/>
  </r>
  <r>
    <n v="13"/>
    <x v="12"/>
    <s v="Anas"/>
    <s v="AB00013"/>
    <x v="0"/>
    <x v="0"/>
    <s v="Renault"/>
    <n v="2023"/>
    <n v="129000"/>
    <s v="Tiers+"/>
    <x v="12"/>
    <n v="12"/>
    <n v="2280"/>
    <n v="0.05"/>
    <n v="6450"/>
    <n v="8730"/>
    <x v="0"/>
  </r>
  <r>
    <n v="14"/>
    <x v="13"/>
    <s v="Soukaina"/>
    <s v="AB00014"/>
    <x v="4"/>
    <x v="1"/>
    <s v="Toyota"/>
    <n v="2010"/>
    <n v="132000"/>
    <s v="Tous Risques"/>
    <x v="13"/>
    <n v="12"/>
    <n v="2340"/>
    <n v="0.06"/>
    <n v="7920"/>
    <n v="10260"/>
    <x v="0"/>
  </r>
  <r>
    <n v="15"/>
    <x v="14"/>
    <s v="Rachid"/>
    <s v="AB00015"/>
    <x v="3"/>
    <x v="2"/>
    <s v="Hyundai"/>
    <n v="2011"/>
    <n v="135000"/>
    <s v="Tiers"/>
    <x v="14"/>
    <n v="12"/>
    <n v="2400"/>
    <n v="0.03"/>
    <n v="4050"/>
    <n v="6450"/>
    <x v="0"/>
  </r>
  <r>
    <n v="16"/>
    <x v="15"/>
    <s v="Sara"/>
    <s v="AB00016"/>
    <x v="2"/>
    <x v="0"/>
    <s v="Ford"/>
    <n v="2012"/>
    <n v="138000"/>
    <s v="Tiers+"/>
    <x v="15"/>
    <n v="12"/>
    <n v="2460"/>
    <n v="0.05"/>
    <n v="6900"/>
    <n v="9360"/>
    <x v="0"/>
  </r>
  <r>
    <n v="17"/>
    <x v="16"/>
    <s v="Yassine"/>
    <s v="AB00017"/>
    <x v="1"/>
    <x v="1"/>
    <s v="Peugeot"/>
    <n v="2013"/>
    <n v="141000"/>
    <s v="Tous Risques"/>
    <x v="16"/>
    <n v="12"/>
    <n v="2520"/>
    <n v="0.06"/>
    <n v="8460"/>
    <n v="10980"/>
    <x v="0"/>
  </r>
  <r>
    <n v="18"/>
    <x v="17"/>
    <s v="Amina"/>
    <s v="AB00018"/>
    <x v="0"/>
    <x v="2"/>
    <s v="Dacia"/>
    <n v="2014"/>
    <n v="144000"/>
    <s v="Tiers"/>
    <x v="17"/>
    <n v="12"/>
    <n v="2580"/>
    <n v="0.03"/>
    <n v="4320"/>
    <n v="6900"/>
    <x v="0"/>
  </r>
  <r>
    <n v="19"/>
    <x v="18"/>
    <s v="Karim"/>
    <s v="AB00019"/>
    <x v="4"/>
    <x v="0"/>
    <s v="Renault"/>
    <n v="2015"/>
    <n v="147000"/>
    <s v="Tiers+"/>
    <x v="18"/>
    <n v="12"/>
    <n v="2640"/>
    <n v="0.05"/>
    <n v="7350"/>
    <n v="9990"/>
    <x v="0"/>
  </r>
  <r>
    <n v="20"/>
    <x v="19"/>
    <s v="Latifa"/>
    <s v="AB00020"/>
    <x v="3"/>
    <x v="1"/>
    <s v="Toyota"/>
    <n v="2016"/>
    <n v="150000"/>
    <s v="Tous Risques"/>
    <x v="19"/>
    <n v="12"/>
    <n v="2700"/>
    <n v="0.06"/>
    <n v="9000"/>
    <n v="11700"/>
    <x v="0"/>
  </r>
  <r>
    <n v="21"/>
    <x v="20"/>
    <s v="Ayoub"/>
    <s v="AB00021"/>
    <x v="2"/>
    <x v="2"/>
    <s v="Hyundai"/>
    <n v="2017"/>
    <n v="153000"/>
    <s v="Tiers"/>
    <x v="20"/>
    <n v="12"/>
    <n v="2760"/>
    <n v="0.03"/>
    <n v="4590"/>
    <n v="7350"/>
    <x v="0"/>
  </r>
  <r>
    <n v="22"/>
    <x v="21"/>
    <s v="Hanane"/>
    <s v="AB00022"/>
    <x v="1"/>
    <x v="0"/>
    <s v="Ford"/>
    <n v="2018"/>
    <n v="156000"/>
    <s v="Tiers+"/>
    <x v="21"/>
    <n v="12"/>
    <n v="2820"/>
    <n v="0.05"/>
    <n v="7800"/>
    <n v="10620"/>
    <x v="0"/>
  </r>
  <r>
    <n v="23"/>
    <x v="22"/>
    <s v="Mehdi"/>
    <s v="AB00023"/>
    <x v="4"/>
    <x v="1"/>
    <s v="Peugeot"/>
    <n v="2019"/>
    <n v="159000"/>
    <s v="Tous Risques"/>
    <x v="22"/>
    <n v="12"/>
    <n v="2880"/>
    <n v="0.06"/>
    <n v="9540"/>
    <n v="12420"/>
    <x v="0"/>
  </r>
  <r>
    <n v="24"/>
    <x v="23"/>
    <s v="Samir"/>
    <s v="AB00024"/>
    <x v="2"/>
    <x v="2"/>
    <s v="Dacia"/>
    <n v="2020"/>
    <n v="162000"/>
    <s v="Tiers"/>
    <x v="23"/>
    <n v="12"/>
    <n v="2940"/>
    <n v="0.03"/>
    <n v="4860"/>
    <n v="7800"/>
    <x v="0"/>
  </r>
  <r>
    <n v="25"/>
    <x v="24"/>
    <s v="Meriem"/>
    <s v="AB00025"/>
    <x v="3"/>
    <x v="0"/>
    <s v="Renault"/>
    <n v="2021"/>
    <n v="165000"/>
    <s v="Tiers+"/>
    <x v="24"/>
    <n v="12"/>
    <n v="3000"/>
    <n v="0.05"/>
    <n v="8250"/>
    <n v="11250"/>
    <x v="0"/>
  </r>
  <r>
    <n v="26"/>
    <x v="25"/>
    <s v="Hamza"/>
    <s v="AB00026"/>
    <x v="0"/>
    <x v="1"/>
    <s v="Toyota"/>
    <n v="2022"/>
    <n v="168000"/>
    <s v="Tous Risques"/>
    <x v="25"/>
    <n v="12"/>
    <n v="3060"/>
    <n v="0.06"/>
    <n v="10080"/>
    <n v="13140"/>
    <x v="0"/>
  </r>
  <r>
    <n v="27"/>
    <x v="26"/>
    <s v="Nour"/>
    <s v="AB00027"/>
    <x v="4"/>
    <x v="2"/>
    <s v="Hyundai"/>
    <n v="2023"/>
    <n v="171000"/>
    <s v="Tiers"/>
    <x v="26"/>
    <n v="12"/>
    <n v="3120"/>
    <n v="0.03"/>
    <n v="5130"/>
    <n v="8250"/>
    <x v="0"/>
  </r>
  <r>
    <n v="28"/>
    <x v="27"/>
    <s v="Abdelkader"/>
    <s v="AB00028"/>
    <x v="1"/>
    <x v="0"/>
    <s v="Ford"/>
    <n v="2010"/>
    <n v="174000"/>
    <s v="Tiers+"/>
    <x v="27"/>
    <n v="12"/>
    <n v="3180"/>
    <n v="0.05"/>
    <n v="8700"/>
    <n v="11880"/>
    <x v="0"/>
  </r>
  <r>
    <n v="29"/>
    <x v="28"/>
    <s v="Lina"/>
    <s v="AB00029"/>
    <x v="2"/>
    <x v="1"/>
    <s v="Peugeot"/>
    <n v="2011"/>
    <n v="177000"/>
    <s v="Tous Risques"/>
    <x v="0"/>
    <n v="12"/>
    <n v="3240"/>
    <n v="0.06"/>
    <n v="10620"/>
    <n v="13860"/>
    <x v="0"/>
  </r>
  <r>
    <n v="30"/>
    <x v="29"/>
    <s v="Younes"/>
    <s v="AB00030"/>
    <x v="3"/>
    <x v="2"/>
    <s v="Dacia"/>
    <n v="2012"/>
    <n v="180000"/>
    <s v="Tiers"/>
    <x v="1"/>
    <n v="12"/>
    <n v="3300"/>
    <n v="0.03"/>
    <n v="5400"/>
    <n v="8700"/>
    <x v="0"/>
  </r>
  <r>
    <n v="31"/>
    <x v="30"/>
    <s v="Ikram"/>
    <s v="AB00031"/>
    <x v="4"/>
    <x v="0"/>
    <s v="Renault"/>
    <n v="2013"/>
    <n v="183000"/>
    <s v="Tiers+"/>
    <x v="2"/>
    <n v="12"/>
    <n v="3360"/>
    <n v="0.05"/>
    <n v="9150"/>
    <n v="12510"/>
    <x v="0"/>
  </r>
  <r>
    <n v="32"/>
    <x v="31"/>
    <s v="Said"/>
    <s v="AB00032"/>
    <x v="1"/>
    <x v="1"/>
    <s v="Toyota"/>
    <n v="2014"/>
    <n v="186000"/>
    <s v="Tous Risques"/>
    <x v="3"/>
    <n v="12"/>
    <n v="3420"/>
    <n v="0.06"/>
    <n v="11160"/>
    <n v="14580"/>
    <x v="0"/>
  </r>
  <r>
    <n v="33"/>
    <x v="32"/>
    <s v="Rania"/>
    <s v="AB00033"/>
    <x v="2"/>
    <x v="2"/>
    <s v="Hyundai"/>
    <n v="2015"/>
    <n v="189000"/>
    <s v="Tiers"/>
    <x v="4"/>
    <n v="12"/>
    <n v="3480"/>
    <n v="0.03"/>
    <n v="5670"/>
    <n v="9150"/>
    <x v="0"/>
  </r>
  <r>
    <n v="34"/>
    <x v="33"/>
    <s v="Yassir"/>
    <s v="AB00034"/>
    <x v="3"/>
    <x v="0"/>
    <s v="Ford"/>
    <n v="2016"/>
    <n v="192000"/>
    <s v="Tiers+"/>
    <x v="5"/>
    <n v="12"/>
    <n v="3540"/>
    <n v="0.05"/>
    <n v="9600"/>
    <n v="13140"/>
    <x v="0"/>
  </r>
  <r>
    <n v="35"/>
    <x v="34"/>
    <s v="Malika"/>
    <s v="AB00035"/>
    <x v="0"/>
    <x v="1"/>
    <s v="Peugeot"/>
    <n v="2017"/>
    <n v="195000"/>
    <s v="Tous Risques"/>
    <x v="6"/>
    <n v="12"/>
    <n v="3600"/>
    <n v="0.06"/>
    <n v="11700"/>
    <n v="15300"/>
    <x v="0"/>
  </r>
  <r>
    <n v="36"/>
    <x v="35"/>
    <s v="Reda"/>
    <s v="AB00036"/>
    <x v="4"/>
    <x v="2"/>
    <s v="Dacia"/>
    <n v="2018"/>
    <n v="198000"/>
    <s v="Tiers"/>
    <x v="7"/>
    <n v="12"/>
    <n v="3660"/>
    <n v="0.03"/>
    <n v="5940"/>
    <n v="9600"/>
    <x v="0"/>
  </r>
  <r>
    <n v="37"/>
    <x v="36"/>
    <s v="Jamal"/>
    <s v="AB00037"/>
    <x v="1"/>
    <x v="0"/>
    <s v="Renault"/>
    <n v="2019"/>
    <n v="201000"/>
    <s v="Tiers+"/>
    <x v="8"/>
    <n v="12"/>
    <n v="3720"/>
    <n v="0.05"/>
    <n v="10050"/>
    <n v="13770"/>
    <x v="0"/>
  </r>
  <r>
    <n v="38"/>
    <x v="37"/>
    <s v="Ilham"/>
    <s v="AB00038"/>
    <x v="2"/>
    <x v="1"/>
    <s v="Toyota"/>
    <n v="2020"/>
    <n v="204000"/>
    <s v="Tous Risques"/>
    <x v="9"/>
    <n v="12"/>
    <n v="3780"/>
    <n v="0.06"/>
    <n v="12240"/>
    <n v="16020"/>
    <x v="0"/>
  </r>
  <r>
    <n v="39"/>
    <x v="38"/>
    <s v="Adil"/>
    <s v="AB00039"/>
    <x v="3"/>
    <x v="2"/>
    <s v="Hyundai"/>
    <n v="2021"/>
    <n v="207000"/>
    <s v="Tiers"/>
    <x v="10"/>
    <n v="12"/>
    <n v="3840"/>
    <n v="0.03"/>
    <n v="6210"/>
    <n v="10050"/>
    <x v="0"/>
  </r>
  <r>
    <n v="40"/>
    <x v="39"/>
    <s v="Naima"/>
    <s v="AB00040"/>
    <x v="0"/>
    <x v="0"/>
    <s v="Ford"/>
    <n v="2022"/>
    <n v="210000"/>
    <s v="Tiers+"/>
    <x v="11"/>
    <n v="12"/>
    <n v="3900"/>
    <n v="0.05"/>
    <n v="10500"/>
    <n v="144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D36:E42" firstHeaderRow="1" firstDataRow="1" firstDataCol="1"/>
  <pivotFields count="17">
    <pivotField showAll="0"/>
    <pivotField axis="axisRow" showAll="0" measureFilter="1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0" showAll="0"/>
    <pivotField showAll="0"/>
    <pivotField dataField="1" showAll="0"/>
    <pivotField showAll="0"/>
  </pivotFields>
  <rowFields count="1">
    <field x="1"/>
  </rowFields>
  <rowItems count="6">
    <i>
      <x/>
    </i>
    <i>
      <x v="16"/>
    </i>
    <i>
      <x v="26"/>
    </i>
    <i>
      <x v="27"/>
    </i>
    <i>
      <x v="31"/>
    </i>
    <i t="grand">
      <x/>
    </i>
  </rowItems>
  <colItems count="1">
    <i/>
  </colItems>
  <dataFields count="1">
    <dataField name="Sum of Prime_Totale" fld="15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31:B33" firstHeaderRow="1" firstDataRow="1" firstDataCol="1"/>
  <pivotFields count="17">
    <pivotField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0" showAll="0"/>
    <pivotField showAll="0"/>
    <pivotField dataField="1"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Prime_Totale" fld="15" baseField="10" baseItem="0"/>
  </dataFields>
  <chartFormats count="1"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D25:E28" firstHeaderRow="1" firstDataRow="1" firstDataCol="1"/>
  <pivotFields count="17">
    <pivotField dataField="1"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0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ID_Client" fld="0" subtotal="count" baseField="16" baseItem="0"/>
  </dataFields>
  <chartFormats count="1"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18:B22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0"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me_Totale" fld="15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D7:E14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0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D_Client" fld="0" baseField="0" baseItem="0"/>
  </dataFields>
  <chartFormats count="1"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3">
  <location ref="A2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numFmtId="10" showAll="0"/>
    <pivotField showAll="0"/>
    <pivotField dataField="1"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me_Totale" fld="15" baseField="0" baseItem="0"/>
  </dataFields>
  <chartFormats count="1">
    <chartFormat chart="5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zoomScale="54" workbookViewId="0">
      <selection activeCell="Y10" sqref="Y10"/>
    </sheetView>
  </sheetViews>
  <sheetFormatPr defaultColWidth="8.90625" defaultRowHeight="14.5" x14ac:dyDescent="0.35"/>
  <cols>
    <col min="1" max="1" width="8.453125" bestFit="1" customWidth="1"/>
    <col min="2" max="2" width="11.6328125" style="4" bestFit="1" customWidth="1"/>
    <col min="3" max="3" width="10.08984375" style="4" bestFit="1" customWidth="1"/>
    <col min="4" max="4" width="8.1796875" style="4" bestFit="1" customWidth="1"/>
    <col min="5" max="5" width="10.1796875" style="4" bestFit="1" customWidth="1"/>
    <col min="6" max="6" width="12.81640625" style="4" bestFit="1" customWidth="1"/>
    <col min="7" max="7" width="7.6328125" style="4" bestFit="1" customWidth="1"/>
    <col min="8" max="8" width="14" bestFit="1" customWidth="1"/>
    <col min="9" max="10" width="14.08984375" bestFit="1" customWidth="1"/>
    <col min="11" max="11" width="15.90625" bestFit="1" customWidth="1"/>
    <col min="12" max="12" width="5.90625" bestFit="1" customWidth="1"/>
    <col min="13" max="13" width="10.54296875" bestFit="1" customWidth="1"/>
    <col min="14" max="14" width="11.1796875" bestFit="1" customWidth="1"/>
    <col min="15" max="15" width="14.453125" bestFit="1" customWidth="1"/>
    <col min="16" max="16" width="15.7265625" bestFit="1" customWidth="1"/>
    <col min="17" max="17" width="11.54296875" bestFit="1" customWidth="1"/>
    <col min="18" max="18" width="17" customWidth="1"/>
    <col min="19" max="19" width="15.54296875" customWidth="1"/>
    <col min="20" max="20" width="24.90625" customWidth="1"/>
    <col min="21" max="21" width="20.6328125" customWidth="1"/>
    <col min="22" max="22" width="18.6328125" customWidth="1"/>
    <col min="23" max="23" width="12.90625" customWidth="1"/>
  </cols>
  <sheetData>
    <row r="1" spans="1:24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9" t="s">
        <v>13</v>
      </c>
      <c r="O1" s="5" t="s">
        <v>14</v>
      </c>
      <c r="P1" s="12" t="s">
        <v>15</v>
      </c>
      <c r="Q1" s="5" t="s">
        <v>16</v>
      </c>
      <c r="R1" s="5" t="s">
        <v>155</v>
      </c>
      <c r="S1" s="5" t="s">
        <v>156</v>
      </c>
      <c r="T1" s="5" t="s">
        <v>157</v>
      </c>
      <c r="U1" s="5" t="s">
        <v>158</v>
      </c>
      <c r="V1" s="5" t="s">
        <v>159</v>
      </c>
      <c r="W1" s="5" t="s">
        <v>1</v>
      </c>
      <c r="X1" s="5" t="s">
        <v>1</v>
      </c>
    </row>
    <row r="2" spans="1:24" x14ac:dyDescent="0.35">
      <c r="A2" s="1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>
        <v>2011</v>
      </c>
      <c r="I2" s="1">
        <v>93000</v>
      </c>
      <c r="J2" s="1" t="s">
        <v>23</v>
      </c>
      <c r="K2" s="2">
        <v>45659</v>
      </c>
      <c r="L2" s="1">
        <v>12</v>
      </c>
      <c r="M2" s="1">
        <v>1560</v>
      </c>
      <c r="N2" s="10">
        <f>IF(F2="Moto",5%,IF(F2="Voiture",3%,IF(F2="Camion",6%,0)))</f>
        <v>0.05</v>
      </c>
      <c r="O2" s="1">
        <f>I2*N2</f>
        <v>4650</v>
      </c>
      <c r="P2" s="13">
        <f>M2+O2</f>
        <v>6210</v>
      </c>
      <c r="Q2" s="1" t="str">
        <f>IF(P2&lt;2000,"Standard",IF(P2&lt;5000,"Premium","VIP"))</f>
        <v>VIP</v>
      </c>
      <c r="R2" s="8">
        <f>COUNTIF(J:J,"Tous Risques")</f>
        <v>13</v>
      </c>
      <c r="S2" s="8">
        <f>COUNTIF(F:F,"Voiture")</f>
        <v>13</v>
      </c>
      <c r="T2" s="8">
        <f>SUMIF(E:E,"Ouarzazate",P:P)</f>
        <v>72060</v>
      </c>
      <c r="U2" s="8">
        <f>SUMIF(F:F,"Camion",P:P)</f>
        <v>152100</v>
      </c>
      <c r="V2" s="8">
        <f>RANK(P2,P:P,0)</f>
        <v>36</v>
      </c>
      <c r="W2" s="8" t="str">
        <f>INDEX(B:B,MATCH(A2,A:A,0))</f>
        <v>El Amrani</v>
      </c>
      <c r="X2" s="8">
        <f>INDEX(P:P,MATCH(A2,A:A,0))</f>
        <v>6210</v>
      </c>
    </row>
    <row r="3" spans="1:24" x14ac:dyDescent="0.35">
      <c r="A3" s="1">
        <v>2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28</v>
      </c>
      <c r="H3" s="1">
        <v>2012</v>
      </c>
      <c r="I3" s="1">
        <v>96000</v>
      </c>
      <c r="J3" s="1" t="s">
        <v>29</v>
      </c>
      <c r="K3" s="2">
        <v>45660</v>
      </c>
      <c r="L3" s="1">
        <v>12</v>
      </c>
      <c r="M3" s="1">
        <v>1620</v>
      </c>
      <c r="N3" s="10">
        <f t="shared" ref="N3:N40" si="0">IF(F3="Moto",5%,IF(F3="Voiture",3%,IF(F3="Camion",6%,0)))</f>
        <v>0.06</v>
      </c>
      <c r="O3" s="1">
        <f t="shared" ref="O3:O41" si="1">I3*N3</f>
        <v>5760</v>
      </c>
      <c r="P3" s="13">
        <f t="shared" ref="P3:P41" si="2">M3+O3</f>
        <v>7380</v>
      </c>
      <c r="Q3" s="1" t="str">
        <f t="shared" ref="Q3:Q41" si="3">IF(P3&lt;2000,"Standard",IF(P3&lt;5000,"Premium","VIP"))</f>
        <v>VIP</v>
      </c>
      <c r="R3" s="11"/>
      <c r="S3" s="11"/>
      <c r="T3" s="11"/>
      <c r="V3" s="8">
        <f t="shared" ref="V3:V41" si="4">RANK(P3,P:P,0)</f>
        <v>31</v>
      </c>
      <c r="W3" s="8" t="str">
        <f t="shared" ref="W3:W41" si="5">INDEX(B:B,MATCH(A3,A:A,0))</f>
        <v>Ait Lahcen</v>
      </c>
      <c r="X3" s="8">
        <f t="shared" ref="X3:X41" si="6">INDEX(P:P,MATCH(A3,A:A,0))</f>
        <v>7380</v>
      </c>
    </row>
    <row r="4" spans="1:24" x14ac:dyDescent="0.35">
      <c r="A4" s="1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1">
        <v>2013</v>
      </c>
      <c r="I4" s="1">
        <v>99000</v>
      </c>
      <c r="J4" s="1" t="s">
        <v>36</v>
      </c>
      <c r="K4" s="2">
        <v>45661</v>
      </c>
      <c r="L4" s="1">
        <v>12</v>
      </c>
      <c r="M4" s="1">
        <v>1680</v>
      </c>
      <c r="N4" s="10">
        <f t="shared" si="0"/>
        <v>0.03</v>
      </c>
      <c r="O4" s="1">
        <f t="shared" si="1"/>
        <v>2970</v>
      </c>
      <c r="P4" s="13">
        <f t="shared" si="2"/>
        <v>4650</v>
      </c>
      <c r="Q4" s="1" t="str">
        <f t="shared" si="3"/>
        <v>Premium</v>
      </c>
      <c r="R4" s="7"/>
      <c r="S4" s="7"/>
      <c r="T4" s="7"/>
      <c r="V4" s="8">
        <f t="shared" si="4"/>
        <v>40</v>
      </c>
      <c r="W4" s="8" t="str">
        <f t="shared" si="5"/>
        <v>Benali</v>
      </c>
      <c r="X4" s="8">
        <f t="shared" si="6"/>
        <v>4650</v>
      </c>
    </row>
    <row r="5" spans="1:24" x14ac:dyDescent="0.35">
      <c r="A5" s="1">
        <v>4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21</v>
      </c>
      <c r="G5" s="3" t="s">
        <v>41</v>
      </c>
      <c r="H5" s="1">
        <v>2014</v>
      </c>
      <c r="I5" s="1">
        <v>102000</v>
      </c>
      <c r="J5" s="1" t="s">
        <v>23</v>
      </c>
      <c r="K5" s="2">
        <v>45662</v>
      </c>
      <c r="L5" s="1">
        <v>12</v>
      </c>
      <c r="M5" s="1">
        <v>1740</v>
      </c>
      <c r="N5" s="10">
        <f t="shared" si="0"/>
        <v>0.05</v>
      </c>
      <c r="O5" s="1">
        <f t="shared" si="1"/>
        <v>5100</v>
      </c>
      <c r="P5" s="13">
        <f t="shared" si="2"/>
        <v>6840</v>
      </c>
      <c r="Q5" s="1" t="str">
        <f t="shared" si="3"/>
        <v>VIP</v>
      </c>
      <c r="R5" s="7"/>
      <c r="S5" s="7"/>
      <c r="T5" s="7"/>
      <c r="V5" s="8">
        <f t="shared" si="4"/>
        <v>34</v>
      </c>
      <c r="W5" s="8" t="str">
        <f t="shared" si="5"/>
        <v>El Idrissi</v>
      </c>
      <c r="X5" s="8">
        <f t="shared" si="6"/>
        <v>6840</v>
      </c>
    </row>
    <row r="6" spans="1:24" x14ac:dyDescent="0.35">
      <c r="A6" s="1">
        <v>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27</v>
      </c>
      <c r="G6" s="3" t="s">
        <v>46</v>
      </c>
      <c r="H6" s="1">
        <v>2015</v>
      </c>
      <c r="I6" s="1">
        <v>105000</v>
      </c>
      <c r="J6" s="1" t="s">
        <v>29</v>
      </c>
      <c r="K6" s="2">
        <v>45663</v>
      </c>
      <c r="L6" s="1">
        <v>12</v>
      </c>
      <c r="M6" s="1">
        <v>1800</v>
      </c>
      <c r="N6" s="10">
        <f t="shared" si="0"/>
        <v>0.06</v>
      </c>
      <c r="O6" s="1">
        <f t="shared" si="1"/>
        <v>6300</v>
      </c>
      <c r="P6" s="13">
        <f t="shared" si="2"/>
        <v>8100</v>
      </c>
      <c r="Q6" s="1" t="str">
        <f t="shared" si="3"/>
        <v>VIP</v>
      </c>
      <c r="R6" s="7"/>
      <c r="S6" s="7"/>
      <c r="T6" s="7"/>
      <c r="V6" s="8">
        <f t="shared" si="4"/>
        <v>27</v>
      </c>
      <c r="W6" s="8" t="str">
        <f t="shared" si="5"/>
        <v>Chraibi</v>
      </c>
      <c r="X6" s="8">
        <f t="shared" si="6"/>
        <v>8100</v>
      </c>
    </row>
    <row r="7" spans="1:24" x14ac:dyDescent="0.35">
      <c r="A7" s="1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51</v>
      </c>
      <c r="H7" s="1">
        <v>2016</v>
      </c>
      <c r="I7" s="1">
        <v>108000</v>
      </c>
      <c r="J7" s="1" t="s">
        <v>36</v>
      </c>
      <c r="K7" s="2">
        <v>45664</v>
      </c>
      <c r="L7" s="1">
        <v>12</v>
      </c>
      <c r="M7" s="1">
        <v>1860</v>
      </c>
      <c r="N7" s="10">
        <f t="shared" si="0"/>
        <v>0.03</v>
      </c>
      <c r="O7" s="1">
        <f t="shared" si="1"/>
        <v>3240</v>
      </c>
      <c r="P7" s="13">
        <f t="shared" si="2"/>
        <v>5100</v>
      </c>
      <c r="Q7" s="1" t="str">
        <f t="shared" si="3"/>
        <v>VIP</v>
      </c>
      <c r="R7" s="7"/>
      <c r="S7" s="7"/>
      <c r="T7" s="7"/>
      <c r="V7" s="8">
        <f t="shared" si="4"/>
        <v>39</v>
      </c>
      <c r="W7" s="8" t="str">
        <f t="shared" si="5"/>
        <v>Tahiri</v>
      </c>
      <c r="X7" s="8">
        <f t="shared" si="6"/>
        <v>5100</v>
      </c>
    </row>
    <row r="8" spans="1:24" x14ac:dyDescent="0.35">
      <c r="A8" s="1">
        <v>7</v>
      </c>
      <c r="B8" s="3" t="s">
        <v>52</v>
      </c>
      <c r="C8" s="3" t="s">
        <v>53</v>
      </c>
      <c r="D8" s="3" t="s">
        <v>54</v>
      </c>
      <c r="E8" s="3" t="s">
        <v>33</v>
      </c>
      <c r="F8" s="3" t="s">
        <v>21</v>
      </c>
      <c r="G8" s="3" t="s">
        <v>22</v>
      </c>
      <c r="H8" s="1">
        <v>2017</v>
      </c>
      <c r="I8" s="1">
        <v>111000</v>
      </c>
      <c r="J8" s="1" t="s">
        <v>23</v>
      </c>
      <c r="K8" s="2">
        <v>45665</v>
      </c>
      <c r="L8" s="1">
        <v>12</v>
      </c>
      <c r="M8" s="1">
        <v>1920</v>
      </c>
      <c r="N8" s="10">
        <f t="shared" si="0"/>
        <v>0.05</v>
      </c>
      <c r="O8" s="1">
        <f t="shared" si="1"/>
        <v>5550</v>
      </c>
      <c r="P8" s="13">
        <f t="shared" si="2"/>
        <v>7470</v>
      </c>
      <c r="Q8" s="1" t="str">
        <f t="shared" si="3"/>
        <v>VIP</v>
      </c>
      <c r="R8" s="7"/>
      <c r="S8" s="7"/>
      <c r="T8" s="7"/>
      <c r="V8" s="8">
        <f t="shared" si="4"/>
        <v>30</v>
      </c>
      <c r="W8" s="8" t="str">
        <f t="shared" si="5"/>
        <v>Bennani</v>
      </c>
      <c r="X8" s="8">
        <f t="shared" si="6"/>
        <v>7470</v>
      </c>
    </row>
    <row r="9" spans="1:24" x14ac:dyDescent="0.35">
      <c r="A9" s="1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27</v>
      </c>
      <c r="G9" s="3" t="s">
        <v>28</v>
      </c>
      <c r="H9" s="1">
        <v>2018</v>
      </c>
      <c r="I9" s="1">
        <v>114000</v>
      </c>
      <c r="J9" s="1" t="s">
        <v>29</v>
      </c>
      <c r="K9" s="2">
        <v>45666</v>
      </c>
      <c r="L9" s="1">
        <v>12</v>
      </c>
      <c r="M9" s="1">
        <v>1980</v>
      </c>
      <c r="N9" s="10">
        <f t="shared" si="0"/>
        <v>0.06</v>
      </c>
      <c r="O9" s="1">
        <f t="shared" si="1"/>
        <v>6840</v>
      </c>
      <c r="P9" s="13">
        <f t="shared" si="2"/>
        <v>8820</v>
      </c>
      <c r="Q9" s="1" t="str">
        <f t="shared" si="3"/>
        <v>VIP</v>
      </c>
      <c r="R9" s="7"/>
      <c r="S9" s="7"/>
      <c r="T9" s="7"/>
      <c r="V9" s="8">
        <f t="shared" si="4"/>
        <v>23</v>
      </c>
      <c r="W9" s="8" t="str">
        <f t="shared" si="5"/>
        <v>El Fassi</v>
      </c>
      <c r="X9" s="8">
        <f t="shared" si="6"/>
        <v>8820</v>
      </c>
    </row>
    <row r="10" spans="1:24" x14ac:dyDescent="0.35">
      <c r="A10" s="1">
        <v>9</v>
      </c>
      <c r="B10" s="3" t="s">
        <v>59</v>
      </c>
      <c r="C10" s="3" t="s">
        <v>60</v>
      </c>
      <c r="D10" s="3" t="s">
        <v>61</v>
      </c>
      <c r="E10" s="3" t="s">
        <v>40</v>
      </c>
      <c r="F10" s="3" t="s">
        <v>34</v>
      </c>
      <c r="G10" s="3" t="s">
        <v>35</v>
      </c>
      <c r="H10" s="1">
        <v>2019</v>
      </c>
      <c r="I10" s="1">
        <v>117000</v>
      </c>
      <c r="J10" s="1" t="s">
        <v>36</v>
      </c>
      <c r="K10" s="2">
        <v>45667</v>
      </c>
      <c r="L10" s="1">
        <v>12</v>
      </c>
      <c r="M10" s="1">
        <v>2040</v>
      </c>
      <c r="N10" s="10">
        <f t="shared" si="0"/>
        <v>0.03</v>
      </c>
      <c r="O10" s="1">
        <f t="shared" si="1"/>
        <v>3510</v>
      </c>
      <c r="P10" s="13">
        <f t="shared" si="2"/>
        <v>5550</v>
      </c>
      <c r="Q10" s="1" t="str">
        <f t="shared" si="3"/>
        <v>VIP</v>
      </c>
      <c r="R10" s="7"/>
      <c r="S10" s="7"/>
      <c r="T10" s="7"/>
      <c r="V10" s="8">
        <f t="shared" si="4"/>
        <v>38</v>
      </c>
      <c r="W10" s="8" t="str">
        <f t="shared" si="5"/>
        <v>Alaoui</v>
      </c>
      <c r="X10" s="8">
        <f t="shared" si="6"/>
        <v>5550</v>
      </c>
    </row>
    <row r="11" spans="1:24" x14ac:dyDescent="0.35">
      <c r="A11" s="1">
        <v>10</v>
      </c>
      <c r="B11" s="3" t="s">
        <v>62</v>
      </c>
      <c r="C11" s="3" t="s">
        <v>63</v>
      </c>
      <c r="D11" s="3" t="s">
        <v>64</v>
      </c>
      <c r="E11" s="3" t="s">
        <v>50</v>
      </c>
      <c r="F11" s="3" t="s">
        <v>21</v>
      </c>
      <c r="G11" s="3" t="s">
        <v>41</v>
      </c>
      <c r="H11" s="1">
        <v>2020</v>
      </c>
      <c r="I11" s="1">
        <v>120000</v>
      </c>
      <c r="J11" s="1" t="s">
        <v>23</v>
      </c>
      <c r="K11" s="2">
        <v>45668</v>
      </c>
      <c r="L11" s="1">
        <v>12</v>
      </c>
      <c r="M11" s="1">
        <v>2100</v>
      </c>
      <c r="N11" s="10">
        <f t="shared" si="0"/>
        <v>0.05</v>
      </c>
      <c r="O11" s="1">
        <f t="shared" si="1"/>
        <v>6000</v>
      </c>
      <c r="P11" s="13">
        <f t="shared" si="2"/>
        <v>8100</v>
      </c>
      <c r="Q11" s="1" t="str">
        <f t="shared" si="3"/>
        <v>VIP</v>
      </c>
      <c r="R11" s="7"/>
      <c r="S11" s="7"/>
      <c r="T11" s="7"/>
      <c r="V11" s="8">
        <f t="shared" si="4"/>
        <v>27</v>
      </c>
      <c r="W11" s="8" t="str">
        <f t="shared" si="5"/>
        <v>Zerouali</v>
      </c>
      <c r="X11" s="8">
        <f t="shared" si="6"/>
        <v>8100</v>
      </c>
    </row>
    <row r="12" spans="1:24" x14ac:dyDescent="0.35">
      <c r="A12" s="1">
        <v>11</v>
      </c>
      <c r="B12" s="3" t="s">
        <v>65</v>
      </c>
      <c r="C12" s="3" t="s">
        <v>66</v>
      </c>
      <c r="D12" s="3" t="s">
        <v>67</v>
      </c>
      <c r="E12" s="3" t="s">
        <v>45</v>
      </c>
      <c r="F12" s="3" t="s">
        <v>27</v>
      </c>
      <c r="G12" s="3" t="s">
        <v>46</v>
      </c>
      <c r="H12" s="1">
        <v>2021</v>
      </c>
      <c r="I12" s="1">
        <v>123000</v>
      </c>
      <c r="J12" s="1" t="s">
        <v>29</v>
      </c>
      <c r="K12" s="2">
        <v>45669</v>
      </c>
      <c r="L12" s="1">
        <v>12</v>
      </c>
      <c r="M12" s="1">
        <v>2160</v>
      </c>
      <c r="N12" s="10">
        <f t="shared" si="0"/>
        <v>0.06</v>
      </c>
      <c r="O12" s="1">
        <f t="shared" si="1"/>
        <v>7380</v>
      </c>
      <c r="P12" s="13">
        <f t="shared" si="2"/>
        <v>9540</v>
      </c>
      <c r="Q12" s="1" t="str">
        <f t="shared" si="3"/>
        <v>VIP</v>
      </c>
      <c r="R12" s="7"/>
      <c r="S12" s="7"/>
      <c r="T12" s="7"/>
      <c r="V12" s="8">
        <f t="shared" si="4"/>
        <v>20</v>
      </c>
      <c r="W12" s="8" t="str">
        <f t="shared" si="5"/>
        <v>Skalli</v>
      </c>
      <c r="X12" s="8">
        <f t="shared" si="6"/>
        <v>9540</v>
      </c>
    </row>
    <row r="13" spans="1:24" x14ac:dyDescent="0.35">
      <c r="A13" s="1">
        <v>12</v>
      </c>
      <c r="B13" s="3" t="s">
        <v>68</v>
      </c>
      <c r="C13" s="3" t="s">
        <v>69</v>
      </c>
      <c r="D13" s="3" t="s">
        <v>70</v>
      </c>
      <c r="E13" s="3" t="s">
        <v>33</v>
      </c>
      <c r="F13" s="3" t="s">
        <v>34</v>
      </c>
      <c r="G13" s="3" t="s">
        <v>51</v>
      </c>
      <c r="H13" s="1">
        <v>2022</v>
      </c>
      <c r="I13" s="1">
        <v>126000</v>
      </c>
      <c r="J13" s="1" t="s">
        <v>36</v>
      </c>
      <c r="K13" s="2">
        <v>45670</v>
      </c>
      <c r="L13" s="1">
        <v>12</v>
      </c>
      <c r="M13" s="1">
        <v>2220</v>
      </c>
      <c r="N13" s="10">
        <f t="shared" si="0"/>
        <v>0.03</v>
      </c>
      <c r="O13" s="1">
        <f t="shared" si="1"/>
        <v>3780</v>
      </c>
      <c r="P13" s="13">
        <f t="shared" si="2"/>
        <v>6000</v>
      </c>
      <c r="Q13" s="1" t="str">
        <f t="shared" si="3"/>
        <v>VIP</v>
      </c>
      <c r="R13" s="7"/>
      <c r="S13" s="7"/>
      <c r="T13" s="7"/>
      <c r="V13" s="8">
        <f t="shared" si="4"/>
        <v>37</v>
      </c>
      <c r="W13" s="8" t="str">
        <f t="shared" si="5"/>
        <v>Raji</v>
      </c>
      <c r="X13" s="8">
        <f t="shared" si="6"/>
        <v>6000</v>
      </c>
    </row>
    <row r="14" spans="1:24" x14ac:dyDescent="0.35">
      <c r="A14" s="1">
        <v>13</v>
      </c>
      <c r="B14" s="3" t="s">
        <v>71</v>
      </c>
      <c r="C14" s="3" t="s">
        <v>72</v>
      </c>
      <c r="D14" s="3" t="s">
        <v>73</v>
      </c>
      <c r="E14" s="3" t="s">
        <v>20</v>
      </c>
      <c r="F14" s="3" t="s">
        <v>21</v>
      </c>
      <c r="G14" s="3" t="s">
        <v>22</v>
      </c>
      <c r="H14" s="1">
        <v>2023</v>
      </c>
      <c r="I14" s="1">
        <v>129000</v>
      </c>
      <c r="J14" s="1" t="s">
        <v>23</v>
      </c>
      <c r="K14" s="2">
        <v>45671</v>
      </c>
      <c r="L14" s="1">
        <v>12</v>
      </c>
      <c r="M14" s="1">
        <v>2280</v>
      </c>
      <c r="N14" s="10">
        <f t="shared" si="0"/>
        <v>0.05</v>
      </c>
      <c r="O14" s="1">
        <f t="shared" si="1"/>
        <v>6450</v>
      </c>
      <c r="P14" s="13">
        <f t="shared" si="2"/>
        <v>8730</v>
      </c>
      <c r="Q14" s="1" t="str">
        <f t="shared" si="3"/>
        <v>VIP</v>
      </c>
      <c r="R14" s="7"/>
      <c r="S14" s="7"/>
      <c r="T14" s="7"/>
      <c r="V14" s="8">
        <f t="shared" si="4"/>
        <v>24</v>
      </c>
      <c r="W14" s="8" t="str">
        <f t="shared" si="5"/>
        <v>Ouahbi</v>
      </c>
      <c r="X14" s="8">
        <f t="shared" si="6"/>
        <v>8730</v>
      </c>
    </row>
    <row r="15" spans="1:24" x14ac:dyDescent="0.35">
      <c r="A15" s="1">
        <v>14</v>
      </c>
      <c r="B15" s="3" t="s">
        <v>74</v>
      </c>
      <c r="C15" s="3" t="s">
        <v>75</v>
      </c>
      <c r="D15" s="3" t="s">
        <v>76</v>
      </c>
      <c r="E15" s="3" t="s">
        <v>50</v>
      </c>
      <c r="F15" s="3" t="s">
        <v>27</v>
      </c>
      <c r="G15" s="3" t="s">
        <v>28</v>
      </c>
      <c r="H15" s="1">
        <v>2010</v>
      </c>
      <c r="I15" s="1">
        <v>132000</v>
      </c>
      <c r="J15" s="1" t="s">
        <v>29</v>
      </c>
      <c r="K15" s="2">
        <v>45672</v>
      </c>
      <c r="L15" s="1">
        <v>12</v>
      </c>
      <c r="M15" s="1">
        <v>2340</v>
      </c>
      <c r="N15" s="10">
        <f t="shared" si="0"/>
        <v>0.06</v>
      </c>
      <c r="O15" s="1">
        <f t="shared" si="1"/>
        <v>7920</v>
      </c>
      <c r="P15" s="13">
        <f t="shared" si="2"/>
        <v>10260</v>
      </c>
      <c r="Q15" s="1" t="str">
        <f t="shared" si="3"/>
        <v>VIP</v>
      </c>
      <c r="R15" s="7"/>
      <c r="S15" s="7"/>
      <c r="T15" s="7"/>
      <c r="V15" s="8">
        <f t="shared" si="4"/>
        <v>16</v>
      </c>
      <c r="W15" s="8" t="str">
        <f t="shared" si="5"/>
        <v>Amine</v>
      </c>
      <c r="X15" s="8">
        <f t="shared" si="6"/>
        <v>10260</v>
      </c>
    </row>
    <row r="16" spans="1:24" x14ac:dyDescent="0.35">
      <c r="A16" s="1">
        <v>15</v>
      </c>
      <c r="B16" s="3" t="s">
        <v>77</v>
      </c>
      <c r="C16" s="3" t="s">
        <v>78</v>
      </c>
      <c r="D16" s="3" t="s">
        <v>79</v>
      </c>
      <c r="E16" s="3" t="s">
        <v>45</v>
      </c>
      <c r="F16" s="3" t="s">
        <v>34</v>
      </c>
      <c r="G16" s="3" t="s">
        <v>35</v>
      </c>
      <c r="H16" s="1">
        <v>2011</v>
      </c>
      <c r="I16" s="1">
        <v>135000</v>
      </c>
      <c r="J16" s="1" t="s">
        <v>36</v>
      </c>
      <c r="K16" s="2">
        <v>45673</v>
      </c>
      <c r="L16" s="1">
        <v>12</v>
      </c>
      <c r="M16" s="1">
        <v>2400</v>
      </c>
      <c r="N16" s="10">
        <f t="shared" si="0"/>
        <v>0.03</v>
      </c>
      <c r="O16" s="1">
        <f t="shared" si="1"/>
        <v>4050</v>
      </c>
      <c r="P16" s="13">
        <f t="shared" si="2"/>
        <v>6450</v>
      </c>
      <c r="Q16" s="1" t="str">
        <f t="shared" si="3"/>
        <v>VIP</v>
      </c>
      <c r="R16" s="7"/>
      <c r="S16" s="7"/>
      <c r="T16" s="7"/>
      <c r="V16" s="8">
        <f t="shared" si="4"/>
        <v>35</v>
      </c>
      <c r="W16" s="8" t="str">
        <f t="shared" si="5"/>
        <v>Mouline</v>
      </c>
      <c r="X16" s="8">
        <f t="shared" si="6"/>
        <v>6450</v>
      </c>
    </row>
    <row r="17" spans="1:24" x14ac:dyDescent="0.35">
      <c r="A17" s="1">
        <v>16</v>
      </c>
      <c r="B17" s="3" t="s">
        <v>80</v>
      </c>
      <c r="C17" s="3" t="s">
        <v>81</v>
      </c>
      <c r="D17" s="3" t="s">
        <v>82</v>
      </c>
      <c r="E17" s="3" t="s">
        <v>40</v>
      </c>
      <c r="F17" s="3" t="s">
        <v>21</v>
      </c>
      <c r="G17" s="3" t="s">
        <v>41</v>
      </c>
      <c r="H17" s="1">
        <v>2012</v>
      </c>
      <c r="I17" s="1">
        <v>138000</v>
      </c>
      <c r="J17" s="1" t="s">
        <v>23</v>
      </c>
      <c r="K17" s="2">
        <v>45674</v>
      </c>
      <c r="L17" s="1">
        <v>12</v>
      </c>
      <c r="M17" s="1">
        <v>2460</v>
      </c>
      <c r="N17" s="10">
        <f t="shared" si="0"/>
        <v>0.05</v>
      </c>
      <c r="O17" s="1">
        <f t="shared" si="1"/>
        <v>6900</v>
      </c>
      <c r="P17" s="13">
        <f t="shared" si="2"/>
        <v>9360</v>
      </c>
      <c r="Q17" s="1" t="str">
        <f t="shared" si="3"/>
        <v>VIP</v>
      </c>
      <c r="R17" s="7"/>
      <c r="S17" s="7"/>
      <c r="T17" s="7"/>
      <c r="V17" s="8">
        <f t="shared" si="4"/>
        <v>21</v>
      </c>
      <c r="W17" s="8" t="str">
        <f t="shared" si="5"/>
        <v>Lahlou</v>
      </c>
      <c r="X17" s="8">
        <f t="shared" si="6"/>
        <v>9360</v>
      </c>
    </row>
    <row r="18" spans="1:24" x14ac:dyDescent="0.35">
      <c r="A18" s="1">
        <v>17</v>
      </c>
      <c r="B18" s="3" t="s">
        <v>83</v>
      </c>
      <c r="C18" s="3" t="s">
        <v>84</v>
      </c>
      <c r="D18" s="3" t="s">
        <v>85</v>
      </c>
      <c r="E18" s="3" t="s">
        <v>33</v>
      </c>
      <c r="F18" s="3" t="s">
        <v>27</v>
      </c>
      <c r="G18" s="3" t="s">
        <v>46</v>
      </c>
      <c r="H18" s="1">
        <v>2013</v>
      </c>
      <c r="I18" s="1">
        <v>141000</v>
      </c>
      <c r="J18" s="1" t="s">
        <v>29</v>
      </c>
      <c r="K18" s="2">
        <v>45675</v>
      </c>
      <c r="L18" s="1">
        <v>12</v>
      </c>
      <c r="M18" s="1">
        <v>2520</v>
      </c>
      <c r="N18" s="10">
        <f t="shared" si="0"/>
        <v>0.06</v>
      </c>
      <c r="O18" s="1">
        <f t="shared" si="1"/>
        <v>8460</v>
      </c>
      <c r="P18" s="13">
        <f t="shared" si="2"/>
        <v>10980</v>
      </c>
      <c r="Q18" s="1" t="str">
        <f t="shared" si="3"/>
        <v>VIP</v>
      </c>
      <c r="R18" s="7"/>
      <c r="S18" s="7"/>
      <c r="T18" s="7"/>
      <c r="V18" s="8">
        <f t="shared" si="4"/>
        <v>14</v>
      </c>
      <c r="W18" s="8" t="str">
        <f t="shared" si="5"/>
        <v>Kabbaj</v>
      </c>
      <c r="X18" s="8">
        <f t="shared" si="6"/>
        <v>10980</v>
      </c>
    </row>
    <row r="19" spans="1:24" x14ac:dyDescent="0.35">
      <c r="A19" s="1">
        <v>18</v>
      </c>
      <c r="B19" s="3" t="s">
        <v>86</v>
      </c>
      <c r="C19" s="3" t="s">
        <v>87</v>
      </c>
      <c r="D19" s="3" t="s">
        <v>88</v>
      </c>
      <c r="E19" s="3" t="s">
        <v>20</v>
      </c>
      <c r="F19" s="3" t="s">
        <v>34</v>
      </c>
      <c r="G19" s="3" t="s">
        <v>51</v>
      </c>
      <c r="H19" s="1">
        <v>2014</v>
      </c>
      <c r="I19" s="1">
        <v>144000</v>
      </c>
      <c r="J19" s="1" t="s">
        <v>36</v>
      </c>
      <c r="K19" s="2">
        <v>45676</v>
      </c>
      <c r="L19" s="1">
        <v>12</v>
      </c>
      <c r="M19" s="1">
        <v>2580</v>
      </c>
      <c r="N19" s="10">
        <f t="shared" si="0"/>
        <v>0.03</v>
      </c>
      <c r="O19" s="1">
        <f t="shared" si="1"/>
        <v>4320</v>
      </c>
      <c r="P19" s="13">
        <f t="shared" si="2"/>
        <v>6900</v>
      </c>
      <c r="Q19" s="1" t="str">
        <f t="shared" si="3"/>
        <v>VIP</v>
      </c>
      <c r="R19" s="7"/>
      <c r="S19" s="7"/>
      <c r="T19" s="7"/>
      <c r="V19" s="8">
        <f t="shared" si="4"/>
        <v>33</v>
      </c>
      <c r="W19" s="8" t="str">
        <f t="shared" si="5"/>
        <v>Bouzidi</v>
      </c>
      <c r="X19" s="8">
        <f t="shared" si="6"/>
        <v>6900</v>
      </c>
    </row>
    <row r="20" spans="1:24" x14ac:dyDescent="0.35">
      <c r="A20" s="1">
        <v>19</v>
      </c>
      <c r="B20" s="3" t="s">
        <v>89</v>
      </c>
      <c r="C20" s="3" t="s">
        <v>90</v>
      </c>
      <c r="D20" s="3" t="s">
        <v>91</v>
      </c>
      <c r="E20" s="3" t="s">
        <v>50</v>
      </c>
      <c r="F20" s="3" t="s">
        <v>21</v>
      </c>
      <c r="G20" s="3" t="s">
        <v>22</v>
      </c>
      <c r="H20" s="1">
        <v>2015</v>
      </c>
      <c r="I20" s="1">
        <v>147000</v>
      </c>
      <c r="J20" s="1" t="s">
        <v>23</v>
      </c>
      <c r="K20" s="2">
        <v>45677</v>
      </c>
      <c r="L20" s="1">
        <v>12</v>
      </c>
      <c r="M20" s="1">
        <v>2640</v>
      </c>
      <c r="N20" s="10">
        <f t="shared" si="0"/>
        <v>0.05</v>
      </c>
      <c r="O20" s="1">
        <f t="shared" si="1"/>
        <v>7350</v>
      </c>
      <c r="P20" s="13">
        <f t="shared" si="2"/>
        <v>9990</v>
      </c>
      <c r="Q20" s="1" t="str">
        <f t="shared" si="3"/>
        <v>VIP</v>
      </c>
      <c r="R20" s="7"/>
      <c r="S20" s="7"/>
      <c r="T20" s="7"/>
      <c r="V20" s="8">
        <f t="shared" si="4"/>
        <v>18</v>
      </c>
      <c r="W20" s="8" t="str">
        <f t="shared" si="5"/>
        <v>El Mansouri</v>
      </c>
      <c r="X20" s="8">
        <f t="shared" si="6"/>
        <v>9990</v>
      </c>
    </row>
    <row r="21" spans="1:24" x14ac:dyDescent="0.35">
      <c r="A21" s="1">
        <v>20</v>
      </c>
      <c r="B21" s="3" t="s">
        <v>92</v>
      </c>
      <c r="C21" s="3" t="s">
        <v>93</v>
      </c>
      <c r="D21" s="3" t="s">
        <v>94</v>
      </c>
      <c r="E21" s="3" t="s">
        <v>45</v>
      </c>
      <c r="F21" s="3" t="s">
        <v>27</v>
      </c>
      <c r="G21" s="3" t="s">
        <v>28</v>
      </c>
      <c r="H21" s="1">
        <v>2016</v>
      </c>
      <c r="I21" s="1">
        <v>150000</v>
      </c>
      <c r="J21" s="1" t="s">
        <v>29</v>
      </c>
      <c r="K21" s="2">
        <v>45678</v>
      </c>
      <c r="L21" s="1">
        <v>12</v>
      </c>
      <c r="M21" s="1">
        <v>2700</v>
      </c>
      <c r="N21" s="10">
        <f t="shared" si="0"/>
        <v>0.06</v>
      </c>
      <c r="O21" s="1">
        <f t="shared" si="1"/>
        <v>9000</v>
      </c>
      <c r="P21" s="13">
        <f t="shared" si="2"/>
        <v>11700</v>
      </c>
      <c r="Q21" s="1" t="str">
        <f t="shared" si="3"/>
        <v>VIP</v>
      </c>
      <c r="R21" s="7"/>
      <c r="S21" s="7"/>
      <c r="T21" s="7"/>
      <c r="V21" s="8">
        <f t="shared" si="4"/>
        <v>12</v>
      </c>
      <c r="W21" s="8" t="str">
        <f t="shared" si="5"/>
        <v>Haddad</v>
      </c>
      <c r="X21" s="8">
        <f t="shared" si="6"/>
        <v>11700</v>
      </c>
    </row>
    <row r="22" spans="1:24" x14ac:dyDescent="0.35">
      <c r="A22" s="1">
        <v>21</v>
      </c>
      <c r="B22" s="3" t="s">
        <v>95</v>
      </c>
      <c r="C22" s="3" t="s">
        <v>96</v>
      </c>
      <c r="D22" s="3" t="s">
        <v>97</v>
      </c>
      <c r="E22" s="3" t="s">
        <v>40</v>
      </c>
      <c r="F22" s="3" t="s">
        <v>34</v>
      </c>
      <c r="G22" s="3" t="s">
        <v>35</v>
      </c>
      <c r="H22" s="1">
        <v>2017</v>
      </c>
      <c r="I22" s="1">
        <v>153000</v>
      </c>
      <c r="J22" s="1" t="s">
        <v>36</v>
      </c>
      <c r="K22" s="2">
        <v>45679</v>
      </c>
      <c r="L22" s="1">
        <v>12</v>
      </c>
      <c r="M22" s="1">
        <v>2760</v>
      </c>
      <c r="N22" s="10">
        <f t="shared" si="0"/>
        <v>0.03</v>
      </c>
      <c r="O22" s="1">
        <f t="shared" si="1"/>
        <v>4590</v>
      </c>
      <c r="P22" s="13">
        <f t="shared" si="2"/>
        <v>7350</v>
      </c>
      <c r="Q22" s="1" t="str">
        <f t="shared" si="3"/>
        <v>VIP</v>
      </c>
      <c r="R22" s="7"/>
      <c r="S22" s="7"/>
      <c r="T22" s="7"/>
      <c r="V22" s="8">
        <f t="shared" si="4"/>
        <v>32</v>
      </c>
      <c r="W22" s="8" t="str">
        <f t="shared" si="5"/>
        <v>Berrada</v>
      </c>
      <c r="X22" s="8">
        <f t="shared" si="6"/>
        <v>7350</v>
      </c>
    </row>
    <row r="23" spans="1:24" x14ac:dyDescent="0.35">
      <c r="A23" s="1">
        <v>22</v>
      </c>
      <c r="B23" s="3" t="s">
        <v>98</v>
      </c>
      <c r="C23" s="3" t="s">
        <v>99</v>
      </c>
      <c r="D23" s="3" t="s">
        <v>100</v>
      </c>
      <c r="E23" s="3" t="s">
        <v>33</v>
      </c>
      <c r="F23" s="3" t="s">
        <v>21</v>
      </c>
      <c r="G23" s="3" t="s">
        <v>41</v>
      </c>
      <c r="H23" s="1">
        <v>2018</v>
      </c>
      <c r="I23" s="1">
        <v>156000</v>
      </c>
      <c r="J23" s="1" t="s">
        <v>23</v>
      </c>
      <c r="K23" s="2">
        <v>45680</v>
      </c>
      <c r="L23" s="1">
        <v>12</v>
      </c>
      <c r="M23" s="1">
        <v>2820</v>
      </c>
      <c r="N23" s="10">
        <f t="shared" si="0"/>
        <v>0.05</v>
      </c>
      <c r="O23" s="1">
        <f t="shared" si="1"/>
        <v>7800</v>
      </c>
      <c r="P23" s="13">
        <f t="shared" si="2"/>
        <v>10620</v>
      </c>
      <c r="Q23" s="1" t="str">
        <f t="shared" si="3"/>
        <v>VIP</v>
      </c>
      <c r="R23" s="7"/>
      <c r="S23" s="7"/>
      <c r="T23" s="7"/>
      <c r="V23" s="8">
        <f t="shared" si="4"/>
        <v>15</v>
      </c>
      <c r="W23" s="8" t="str">
        <f t="shared" si="5"/>
        <v>Sbaai</v>
      </c>
      <c r="X23" s="8">
        <f t="shared" si="6"/>
        <v>10620</v>
      </c>
    </row>
    <row r="24" spans="1:24" x14ac:dyDescent="0.35">
      <c r="A24" s="1">
        <v>23</v>
      </c>
      <c r="B24" s="3" t="s">
        <v>101</v>
      </c>
      <c r="C24" s="3" t="s">
        <v>102</v>
      </c>
      <c r="D24" s="3" t="s">
        <v>103</v>
      </c>
      <c r="E24" s="3" t="s">
        <v>50</v>
      </c>
      <c r="F24" s="3" t="s">
        <v>27</v>
      </c>
      <c r="G24" s="3" t="s">
        <v>46</v>
      </c>
      <c r="H24" s="1">
        <v>2019</v>
      </c>
      <c r="I24" s="1">
        <v>159000</v>
      </c>
      <c r="J24" s="1" t="s">
        <v>29</v>
      </c>
      <c r="K24" s="2">
        <v>45681</v>
      </c>
      <c r="L24" s="1">
        <v>12</v>
      </c>
      <c r="M24" s="1">
        <v>2880</v>
      </c>
      <c r="N24" s="10">
        <f t="shared" si="0"/>
        <v>0.06</v>
      </c>
      <c r="O24" s="1">
        <f t="shared" si="1"/>
        <v>9540</v>
      </c>
      <c r="P24" s="13">
        <f t="shared" si="2"/>
        <v>12420</v>
      </c>
      <c r="Q24" s="1" t="str">
        <f t="shared" si="3"/>
        <v>VIP</v>
      </c>
      <c r="R24" s="7"/>
      <c r="S24" s="7"/>
      <c r="T24" s="7"/>
      <c r="V24" s="8">
        <f t="shared" si="4"/>
        <v>10</v>
      </c>
      <c r="W24" s="8" t="str">
        <f t="shared" si="5"/>
        <v>Ghazali</v>
      </c>
      <c r="X24" s="8">
        <f t="shared" si="6"/>
        <v>12420</v>
      </c>
    </row>
    <row r="25" spans="1:24" x14ac:dyDescent="0.35">
      <c r="A25" s="1">
        <v>24</v>
      </c>
      <c r="B25" s="3" t="s">
        <v>104</v>
      </c>
      <c r="C25" s="3" t="s">
        <v>105</v>
      </c>
      <c r="D25" s="3" t="s">
        <v>106</v>
      </c>
      <c r="E25" s="3" t="s">
        <v>40</v>
      </c>
      <c r="F25" s="3" t="s">
        <v>34</v>
      </c>
      <c r="G25" s="3" t="s">
        <v>51</v>
      </c>
      <c r="H25" s="1">
        <v>2020</v>
      </c>
      <c r="I25" s="1">
        <v>162000</v>
      </c>
      <c r="J25" s="1" t="s">
        <v>36</v>
      </c>
      <c r="K25" s="2">
        <v>45682</v>
      </c>
      <c r="L25" s="1">
        <v>12</v>
      </c>
      <c r="M25" s="1">
        <v>2940</v>
      </c>
      <c r="N25" s="10">
        <f t="shared" si="0"/>
        <v>0.03</v>
      </c>
      <c r="O25" s="1">
        <f t="shared" si="1"/>
        <v>4860</v>
      </c>
      <c r="P25" s="13">
        <f t="shared" si="2"/>
        <v>7800</v>
      </c>
      <c r="Q25" s="1" t="str">
        <f t="shared" si="3"/>
        <v>VIP</v>
      </c>
      <c r="R25" s="7"/>
      <c r="S25" s="7"/>
      <c r="T25" s="7"/>
      <c r="V25" s="8">
        <f t="shared" si="4"/>
        <v>29</v>
      </c>
      <c r="W25" s="8" t="str">
        <f t="shared" si="5"/>
        <v>Benkirane</v>
      </c>
      <c r="X25" s="8">
        <f t="shared" si="6"/>
        <v>7800</v>
      </c>
    </row>
    <row r="26" spans="1:24" x14ac:dyDescent="0.35">
      <c r="A26" s="1">
        <v>25</v>
      </c>
      <c r="B26" s="3" t="s">
        <v>107</v>
      </c>
      <c r="C26" s="3" t="s">
        <v>108</v>
      </c>
      <c r="D26" s="3" t="s">
        <v>109</v>
      </c>
      <c r="E26" s="3" t="s">
        <v>45</v>
      </c>
      <c r="F26" s="3" t="s">
        <v>21</v>
      </c>
      <c r="G26" s="3" t="s">
        <v>22</v>
      </c>
      <c r="H26" s="1">
        <v>2021</v>
      </c>
      <c r="I26" s="1">
        <v>165000</v>
      </c>
      <c r="J26" s="1" t="s">
        <v>23</v>
      </c>
      <c r="K26" s="2">
        <v>45683</v>
      </c>
      <c r="L26" s="1">
        <v>12</v>
      </c>
      <c r="M26" s="1">
        <v>3000</v>
      </c>
      <c r="N26" s="10">
        <f t="shared" si="0"/>
        <v>0.05</v>
      </c>
      <c r="O26" s="1">
        <f t="shared" si="1"/>
        <v>8250</v>
      </c>
      <c r="P26" s="13">
        <f t="shared" si="2"/>
        <v>11250</v>
      </c>
      <c r="Q26" s="1" t="str">
        <f t="shared" si="3"/>
        <v>VIP</v>
      </c>
      <c r="R26" s="7"/>
      <c r="S26" s="7"/>
      <c r="T26" s="7"/>
      <c r="V26" s="8">
        <f t="shared" si="4"/>
        <v>13</v>
      </c>
      <c r="W26" s="8" t="str">
        <f t="shared" si="5"/>
        <v>El Khatib</v>
      </c>
      <c r="X26" s="8">
        <f t="shared" si="6"/>
        <v>11250</v>
      </c>
    </row>
    <row r="27" spans="1:24" x14ac:dyDescent="0.35">
      <c r="A27" s="1">
        <v>26</v>
      </c>
      <c r="B27" s="3" t="s">
        <v>110</v>
      </c>
      <c r="C27" s="3" t="s">
        <v>111</v>
      </c>
      <c r="D27" s="3" t="s">
        <v>112</v>
      </c>
      <c r="E27" s="3" t="s">
        <v>20</v>
      </c>
      <c r="F27" s="3" t="s">
        <v>27</v>
      </c>
      <c r="G27" s="3" t="s">
        <v>28</v>
      </c>
      <c r="H27" s="1">
        <v>2022</v>
      </c>
      <c r="I27" s="1">
        <v>168000</v>
      </c>
      <c r="J27" s="1" t="s">
        <v>29</v>
      </c>
      <c r="K27" s="2">
        <v>45684</v>
      </c>
      <c r="L27" s="1">
        <v>12</v>
      </c>
      <c r="M27" s="1">
        <v>3060</v>
      </c>
      <c r="N27" s="10">
        <f t="shared" si="0"/>
        <v>0.06</v>
      </c>
      <c r="O27" s="1">
        <f t="shared" si="1"/>
        <v>10080</v>
      </c>
      <c r="P27" s="13">
        <f t="shared" si="2"/>
        <v>13140</v>
      </c>
      <c r="Q27" s="1" t="str">
        <f t="shared" si="3"/>
        <v>VIP</v>
      </c>
      <c r="R27" s="7"/>
      <c r="S27" s="7"/>
      <c r="T27" s="7"/>
      <c r="V27" s="8">
        <f t="shared" si="4"/>
        <v>7</v>
      </c>
      <c r="W27" s="8" t="str">
        <f t="shared" si="5"/>
        <v>Azizi</v>
      </c>
      <c r="X27" s="8">
        <f t="shared" si="6"/>
        <v>13140</v>
      </c>
    </row>
    <row r="28" spans="1:24" x14ac:dyDescent="0.35">
      <c r="A28" s="1">
        <v>27</v>
      </c>
      <c r="B28" s="3" t="s">
        <v>113</v>
      </c>
      <c r="C28" s="3" t="s">
        <v>114</v>
      </c>
      <c r="D28" s="3" t="s">
        <v>115</v>
      </c>
      <c r="E28" s="3" t="s">
        <v>50</v>
      </c>
      <c r="F28" s="3" t="s">
        <v>34</v>
      </c>
      <c r="G28" s="3" t="s">
        <v>35</v>
      </c>
      <c r="H28" s="1">
        <v>2023</v>
      </c>
      <c r="I28" s="1">
        <v>171000</v>
      </c>
      <c r="J28" s="1" t="s">
        <v>36</v>
      </c>
      <c r="K28" s="2">
        <v>45685</v>
      </c>
      <c r="L28" s="1">
        <v>12</v>
      </c>
      <c r="M28" s="1">
        <v>3120</v>
      </c>
      <c r="N28" s="10">
        <f t="shared" si="0"/>
        <v>0.03</v>
      </c>
      <c r="O28" s="1">
        <f t="shared" si="1"/>
        <v>5130</v>
      </c>
      <c r="P28" s="13">
        <f t="shared" si="2"/>
        <v>8250</v>
      </c>
      <c r="Q28" s="1" t="str">
        <f t="shared" si="3"/>
        <v>VIP</v>
      </c>
      <c r="R28" s="7"/>
      <c r="S28" s="7"/>
      <c r="T28" s="7"/>
      <c r="V28" s="8">
        <f t="shared" si="4"/>
        <v>26</v>
      </c>
      <c r="W28" s="8" t="str">
        <f t="shared" si="5"/>
        <v>Raiss</v>
      </c>
      <c r="X28" s="8">
        <f t="shared" si="6"/>
        <v>8250</v>
      </c>
    </row>
    <row r="29" spans="1:24" x14ac:dyDescent="0.35">
      <c r="A29" s="1">
        <v>28</v>
      </c>
      <c r="B29" s="3" t="s">
        <v>116</v>
      </c>
      <c r="C29" s="3" t="s">
        <v>117</v>
      </c>
      <c r="D29" s="3" t="s">
        <v>118</v>
      </c>
      <c r="E29" s="3" t="s">
        <v>33</v>
      </c>
      <c r="F29" s="3" t="s">
        <v>21</v>
      </c>
      <c r="G29" s="3" t="s">
        <v>41</v>
      </c>
      <c r="H29" s="1">
        <v>2010</v>
      </c>
      <c r="I29" s="1">
        <v>174000</v>
      </c>
      <c r="J29" s="1" t="s">
        <v>23</v>
      </c>
      <c r="K29" s="2">
        <v>45658</v>
      </c>
      <c r="L29" s="1">
        <v>12</v>
      </c>
      <c r="M29" s="1">
        <v>3180</v>
      </c>
      <c r="N29" s="10">
        <f t="shared" si="0"/>
        <v>0.05</v>
      </c>
      <c r="O29" s="1">
        <f t="shared" si="1"/>
        <v>8700</v>
      </c>
      <c r="P29" s="13">
        <f t="shared" si="2"/>
        <v>11880</v>
      </c>
      <c r="Q29" s="1" t="str">
        <f t="shared" si="3"/>
        <v>VIP</v>
      </c>
      <c r="R29" s="7"/>
      <c r="S29" s="7"/>
      <c r="T29" s="7"/>
      <c r="V29" s="8">
        <f t="shared" si="4"/>
        <v>11</v>
      </c>
      <c r="W29" s="8" t="str">
        <f t="shared" si="5"/>
        <v>Fadili</v>
      </c>
      <c r="X29" s="8">
        <f t="shared" si="6"/>
        <v>11880</v>
      </c>
    </row>
    <row r="30" spans="1:24" x14ac:dyDescent="0.35">
      <c r="A30" s="1">
        <v>29</v>
      </c>
      <c r="B30" s="3" t="s">
        <v>119</v>
      </c>
      <c r="C30" s="3" t="s">
        <v>120</v>
      </c>
      <c r="D30" s="3" t="s">
        <v>121</v>
      </c>
      <c r="E30" s="3" t="s">
        <v>40</v>
      </c>
      <c r="F30" s="3" t="s">
        <v>27</v>
      </c>
      <c r="G30" s="3" t="s">
        <v>46</v>
      </c>
      <c r="H30" s="1">
        <v>2011</v>
      </c>
      <c r="I30" s="1">
        <v>177000</v>
      </c>
      <c r="J30" s="1" t="s">
        <v>29</v>
      </c>
      <c r="K30" s="2">
        <v>45659</v>
      </c>
      <c r="L30" s="1">
        <v>12</v>
      </c>
      <c r="M30" s="1">
        <v>3240</v>
      </c>
      <c r="N30" s="10">
        <f t="shared" si="0"/>
        <v>0.06</v>
      </c>
      <c r="O30" s="1">
        <f t="shared" si="1"/>
        <v>10620</v>
      </c>
      <c r="P30" s="13">
        <f t="shared" si="2"/>
        <v>13860</v>
      </c>
      <c r="Q30" s="1" t="str">
        <f t="shared" si="3"/>
        <v>VIP</v>
      </c>
      <c r="R30" s="7"/>
      <c r="S30" s="7"/>
      <c r="T30" s="7"/>
      <c r="V30" s="8">
        <f t="shared" si="4"/>
        <v>5</v>
      </c>
      <c r="W30" s="8" t="str">
        <f t="shared" si="5"/>
        <v>Kouhen</v>
      </c>
      <c r="X30" s="8">
        <f t="shared" si="6"/>
        <v>13860</v>
      </c>
    </row>
    <row r="31" spans="1:24" x14ac:dyDescent="0.35">
      <c r="A31" s="1">
        <v>30</v>
      </c>
      <c r="B31" s="3" t="s">
        <v>122</v>
      </c>
      <c r="C31" s="3" t="s">
        <v>123</v>
      </c>
      <c r="D31" s="3" t="s">
        <v>124</v>
      </c>
      <c r="E31" s="3" t="s">
        <v>45</v>
      </c>
      <c r="F31" s="3" t="s">
        <v>34</v>
      </c>
      <c r="G31" s="3" t="s">
        <v>51</v>
      </c>
      <c r="H31" s="1">
        <v>2012</v>
      </c>
      <c r="I31" s="1">
        <v>180000</v>
      </c>
      <c r="J31" s="1" t="s">
        <v>36</v>
      </c>
      <c r="K31" s="2">
        <v>45660</v>
      </c>
      <c r="L31" s="1">
        <v>12</v>
      </c>
      <c r="M31" s="1">
        <v>3300</v>
      </c>
      <c r="N31" s="10">
        <f t="shared" si="0"/>
        <v>0.03</v>
      </c>
      <c r="O31" s="1">
        <f t="shared" si="1"/>
        <v>5400</v>
      </c>
      <c r="P31" s="13">
        <f t="shared" si="2"/>
        <v>8700</v>
      </c>
      <c r="Q31" s="1" t="str">
        <f t="shared" si="3"/>
        <v>VIP</v>
      </c>
      <c r="R31" s="7"/>
      <c r="S31" s="7"/>
      <c r="T31" s="7"/>
      <c r="V31" s="8">
        <f t="shared" si="4"/>
        <v>25</v>
      </c>
      <c r="W31" s="8" t="str">
        <f t="shared" si="5"/>
        <v>Smires</v>
      </c>
      <c r="X31" s="8">
        <f t="shared" si="6"/>
        <v>8700</v>
      </c>
    </row>
    <row r="32" spans="1:24" x14ac:dyDescent="0.35">
      <c r="A32" s="1">
        <v>31</v>
      </c>
      <c r="B32" s="3" t="s">
        <v>125</v>
      </c>
      <c r="C32" s="3" t="s">
        <v>126</v>
      </c>
      <c r="D32" s="3" t="s">
        <v>127</v>
      </c>
      <c r="E32" s="3" t="s">
        <v>50</v>
      </c>
      <c r="F32" s="3" t="s">
        <v>21</v>
      </c>
      <c r="G32" s="3" t="s">
        <v>22</v>
      </c>
      <c r="H32" s="1">
        <v>2013</v>
      </c>
      <c r="I32" s="1">
        <v>183000</v>
      </c>
      <c r="J32" s="1" t="s">
        <v>23</v>
      </c>
      <c r="K32" s="2">
        <v>45661</v>
      </c>
      <c r="L32" s="1">
        <v>12</v>
      </c>
      <c r="M32" s="1">
        <v>3360</v>
      </c>
      <c r="N32" s="10">
        <f t="shared" si="0"/>
        <v>0.05</v>
      </c>
      <c r="O32" s="1">
        <f t="shared" si="1"/>
        <v>9150</v>
      </c>
      <c r="P32" s="13">
        <f t="shared" si="2"/>
        <v>12510</v>
      </c>
      <c r="Q32" s="1" t="str">
        <f t="shared" si="3"/>
        <v>VIP</v>
      </c>
      <c r="R32" s="7"/>
      <c r="S32" s="7"/>
      <c r="T32" s="7"/>
      <c r="V32" s="8">
        <f>RANK(P32,P:P,0)</f>
        <v>9</v>
      </c>
      <c r="W32" s="8" t="str">
        <f t="shared" si="5"/>
        <v>Bounou</v>
      </c>
      <c r="X32" s="8">
        <f t="shared" si="6"/>
        <v>12510</v>
      </c>
    </row>
    <row r="33" spans="1:24" x14ac:dyDescent="0.35">
      <c r="A33" s="1">
        <v>32</v>
      </c>
      <c r="B33" s="3" t="s">
        <v>128</v>
      </c>
      <c r="C33" s="3" t="s">
        <v>129</v>
      </c>
      <c r="D33" s="3" t="s">
        <v>130</v>
      </c>
      <c r="E33" s="3" t="s">
        <v>33</v>
      </c>
      <c r="F33" s="3" t="s">
        <v>27</v>
      </c>
      <c r="G33" s="3" t="s">
        <v>28</v>
      </c>
      <c r="H33" s="1">
        <v>2014</v>
      </c>
      <c r="I33" s="1">
        <v>186000</v>
      </c>
      <c r="J33" s="1" t="s">
        <v>29</v>
      </c>
      <c r="K33" s="2">
        <v>45662</v>
      </c>
      <c r="L33" s="1">
        <v>12</v>
      </c>
      <c r="M33" s="1">
        <v>3420</v>
      </c>
      <c r="N33" s="10">
        <f t="shared" si="0"/>
        <v>0.06</v>
      </c>
      <c r="O33" s="1">
        <f t="shared" si="1"/>
        <v>11160</v>
      </c>
      <c r="P33" s="13">
        <f t="shared" si="2"/>
        <v>14580</v>
      </c>
      <c r="Q33" s="1" t="str">
        <f t="shared" si="3"/>
        <v>VIP</v>
      </c>
      <c r="R33" s="7"/>
      <c r="S33" s="7"/>
      <c r="T33" s="7"/>
      <c r="V33" s="8">
        <f t="shared" si="4"/>
        <v>3</v>
      </c>
      <c r="W33" s="8" t="str">
        <f t="shared" si="5"/>
        <v>El Hachimi</v>
      </c>
      <c r="X33" s="8">
        <f t="shared" si="6"/>
        <v>14580</v>
      </c>
    </row>
    <row r="34" spans="1:24" x14ac:dyDescent="0.35">
      <c r="A34" s="1">
        <v>33</v>
      </c>
      <c r="B34" s="3" t="s">
        <v>131</v>
      </c>
      <c r="C34" s="3" t="s">
        <v>132</v>
      </c>
      <c r="D34" s="3" t="s">
        <v>133</v>
      </c>
      <c r="E34" s="3" t="s">
        <v>40</v>
      </c>
      <c r="F34" s="3" t="s">
        <v>34</v>
      </c>
      <c r="G34" s="3" t="s">
        <v>35</v>
      </c>
      <c r="H34" s="1">
        <v>2015</v>
      </c>
      <c r="I34" s="1">
        <v>189000</v>
      </c>
      <c r="J34" s="1" t="s">
        <v>36</v>
      </c>
      <c r="K34" s="2">
        <v>45663</v>
      </c>
      <c r="L34" s="1">
        <v>12</v>
      </c>
      <c r="M34" s="1">
        <v>3480</v>
      </c>
      <c r="N34" s="10">
        <f t="shared" si="0"/>
        <v>0.03</v>
      </c>
      <c r="O34" s="1">
        <f t="shared" si="1"/>
        <v>5670</v>
      </c>
      <c r="P34" s="13">
        <f t="shared" si="2"/>
        <v>9150</v>
      </c>
      <c r="Q34" s="1" t="str">
        <f t="shared" si="3"/>
        <v>VIP</v>
      </c>
      <c r="R34" s="7"/>
      <c r="S34" s="7"/>
      <c r="T34" s="7"/>
      <c r="V34" s="8">
        <f t="shared" si="4"/>
        <v>22</v>
      </c>
      <c r="W34" s="8" t="str">
        <f t="shared" si="5"/>
        <v>Zayani</v>
      </c>
      <c r="X34" s="8">
        <f t="shared" si="6"/>
        <v>9150</v>
      </c>
    </row>
    <row r="35" spans="1:24" x14ac:dyDescent="0.35">
      <c r="A35" s="1">
        <v>34</v>
      </c>
      <c r="B35" s="3" t="s">
        <v>134</v>
      </c>
      <c r="C35" s="3" t="s">
        <v>135</v>
      </c>
      <c r="D35" s="3" t="s">
        <v>136</v>
      </c>
      <c r="E35" s="3" t="s">
        <v>45</v>
      </c>
      <c r="F35" s="3" t="s">
        <v>21</v>
      </c>
      <c r="G35" s="3" t="s">
        <v>41</v>
      </c>
      <c r="H35" s="1">
        <v>2016</v>
      </c>
      <c r="I35" s="1">
        <v>192000</v>
      </c>
      <c r="J35" s="1" t="s">
        <v>23</v>
      </c>
      <c r="K35" s="2">
        <v>45664</v>
      </c>
      <c r="L35" s="1">
        <v>12</v>
      </c>
      <c r="M35" s="1">
        <v>3540</v>
      </c>
      <c r="N35" s="10">
        <f t="shared" si="0"/>
        <v>0.05</v>
      </c>
      <c r="O35" s="1">
        <f t="shared" si="1"/>
        <v>9600</v>
      </c>
      <c r="P35" s="13">
        <f t="shared" si="2"/>
        <v>13140</v>
      </c>
      <c r="Q35" s="1" t="str">
        <f t="shared" si="3"/>
        <v>VIP</v>
      </c>
      <c r="R35" s="7"/>
      <c r="S35" s="7"/>
      <c r="T35" s="7"/>
      <c r="V35" s="8">
        <f t="shared" si="4"/>
        <v>7</v>
      </c>
      <c r="W35" s="8" t="str">
        <f t="shared" si="5"/>
        <v>Belaid</v>
      </c>
      <c r="X35" s="8">
        <f t="shared" si="6"/>
        <v>13140</v>
      </c>
    </row>
    <row r="36" spans="1:24" x14ac:dyDescent="0.35">
      <c r="A36" s="1">
        <v>35</v>
      </c>
      <c r="B36" s="3" t="s">
        <v>137</v>
      </c>
      <c r="C36" s="3" t="s">
        <v>138</v>
      </c>
      <c r="D36" s="3" t="s">
        <v>139</v>
      </c>
      <c r="E36" s="3" t="s">
        <v>20</v>
      </c>
      <c r="F36" s="3" t="s">
        <v>27</v>
      </c>
      <c r="G36" s="3" t="s">
        <v>46</v>
      </c>
      <c r="H36" s="1">
        <v>2017</v>
      </c>
      <c r="I36" s="1">
        <v>195000</v>
      </c>
      <c r="J36" s="1" t="s">
        <v>29</v>
      </c>
      <c r="K36" s="2">
        <v>45665</v>
      </c>
      <c r="L36" s="1">
        <v>12</v>
      </c>
      <c r="M36" s="1">
        <v>3600</v>
      </c>
      <c r="N36" s="10">
        <f t="shared" si="0"/>
        <v>0.06</v>
      </c>
      <c r="O36" s="1">
        <f t="shared" si="1"/>
        <v>11700</v>
      </c>
      <c r="P36" s="13">
        <f t="shared" si="2"/>
        <v>15300</v>
      </c>
      <c r="Q36" s="1" t="str">
        <f t="shared" si="3"/>
        <v>VIP</v>
      </c>
      <c r="R36" s="7"/>
      <c r="S36" s="7"/>
      <c r="T36" s="7"/>
      <c r="V36" s="8">
        <f t="shared" si="4"/>
        <v>2</v>
      </c>
      <c r="W36" s="8" t="str">
        <f t="shared" si="5"/>
        <v>Ouhmid</v>
      </c>
      <c r="X36" s="8">
        <f t="shared" si="6"/>
        <v>15300</v>
      </c>
    </row>
    <row r="37" spans="1:24" x14ac:dyDescent="0.35">
      <c r="A37" s="1">
        <v>36</v>
      </c>
      <c r="B37" s="3" t="s">
        <v>140</v>
      </c>
      <c r="C37" s="3" t="s">
        <v>141</v>
      </c>
      <c r="D37" s="3" t="s">
        <v>142</v>
      </c>
      <c r="E37" s="3" t="s">
        <v>50</v>
      </c>
      <c r="F37" s="3" t="s">
        <v>34</v>
      </c>
      <c r="G37" s="3" t="s">
        <v>51</v>
      </c>
      <c r="H37" s="1">
        <v>2018</v>
      </c>
      <c r="I37" s="1">
        <v>198000</v>
      </c>
      <c r="J37" s="1" t="s">
        <v>36</v>
      </c>
      <c r="K37" s="2">
        <v>45666</v>
      </c>
      <c r="L37" s="1">
        <v>12</v>
      </c>
      <c r="M37" s="1">
        <v>3660</v>
      </c>
      <c r="N37" s="10">
        <f t="shared" si="0"/>
        <v>0.03</v>
      </c>
      <c r="O37" s="1">
        <f t="shared" si="1"/>
        <v>5940</v>
      </c>
      <c r="P37" s="13">
        <f t="shared" si="2"/>
        <v>9600</v>
      </c>
      <c r="Q37" s="1" t="str">
        <f t="shared" si="3"/>
        <v>VIP</v>
      </c>
      <c r="R37" s="7"/>
      <c r="S37" s="7"/>
      <c r="T37" s="7"/>
      <c r="V37" s="8">
        <f t="shared" si="4"/>
        <v>19</v>
      </c>
      <c r="W37" s="8" t="str">
        <f t="shared" si="5"/>
        <v>Hami</v>
      </c>
      <c r="X37" s="8">
        <f t="shared" si="6"/>
        <v>9600</v>
      </c>
    </row>
    <row r="38" spans="1:24" x14ac:dyDescent="0.35">
      <c r="A38" s="1">
        <v>37</v>
      </c>
      <c r="B38" s="3" t="s">
        <v>143</v>
      </c>
      <c r="C38" s="3" t="s">
        <v>144</v>
      </c>
      <c r="D38" s="3" t="s">
        <v>145</v>
      </c>
      <c r="E38" s="3" t="s">
        <v>33</v>
      </c>
      <c r="F38" s="3" t="s">
        <v>21</v>
      </c>
      <c r="G38" s="3" t="s">
        <v>22</v>
      </c>
      <c r="H38" s="1">
        <v>2019</v>
      </c>
      <c r="I38" s="1">
        <v>201000</v>
      </c>
      <c r="J38" s="1" t="s">
        <v>23</v>
      </c>
      <c r="K38" s="2">
        <v>45667</v>
      </c>
      <c r="L38" s="1">
        <v>12</v>
      </c>
      <c r="M38" s="1">
        <v>3720</v>
      </c>
      <c r="N38" s="10">
        <f t="shared" si="0"/>
        <v>0.05</v>
      </c>
      <c r="O38" s="1">
        <f t="shared" si="1"/>
        <v>10050</v>
      </c>
      <c r="P38" s="13">
        <f t="shared" si="2"/>
        <v>13770</v>
      </c>
      <c r="Q38" s="1" t="str">
        <f t="shared" si="3"/>
        <v>VIP</v>
      </c>
      <c r="R38" s="7"/>
      <c r="S38" s="7"/>
      <c r="T38" s="7"/>
      <c r="V38" s="8">
        <f t="shared" si="4"/>
        <v>6</v>
      </c>
      <c r="W38" s="8" t="str">
        <f t="shared" si="5"/>
        <v>El Mouden</v>
      </c>
      <c r="X38" s="8">
        <f t="shared" si="6"/>
        <v>13770</v>
      </c>
    </row>
    <row r="39" spans="1:24" x14ac:dyDescent="0.35">
      <c r="A39" s="1">
        <v>38</v>
      </c>
      <c r="B39" s="3" t="s">
        <v>146</v>
      </c>
      <c r="C39" s="3" t="s">
        <v>147</v>
      </c>
      <c r="D39" s="3" t="s">
        <v>148</v>
      </c>
      <c r="E39" s="3" t="s">
        <v>40</v>
      </c>
      <c r="F39" s="3" t="s">
        <v>27</v>
      </c>
      <c r="G39" s="3" t="s">
        <v>28</v>
      </c>
      <c r="H39" s="1">
        <v>2020</v>
      </c>
      <c r="I39" s="1">
        <v>204000</v>
      </c>
      <c r="J39" s="1" t="s">
        <v>29</v>
      </c>
      <c r="K39" s="2">
        <v>45668</v>
      </c>
      <c r="L39" s="1">
        <v>12</v>
      </c>
      <c r="M39" s="1">
        <v>3780</v>
      </c>
      <c r="N39" s="10">
        <f t="shared" si="0"/>
        <v>0.06</v>
      </c>
      <c r="O39" s="1">
        <f t="shared" si="1"/>
        <v>12240</v>
      </c>
      <c r="P39" s="13">
        <f t="shared" si="2"/>
        <v>16020</v>
      </c>
      <c r="Q39" s="1" t="str">
        <f t="shared" si="3"/>
        <v>VIP</v>
      </c>
      <c r="R39" s="7"/>
      <c r="S39" s="7"/>
      <c r="T39" s="7"/>
      <c r="V39" s="8">
        <f t="shared" si="4"/>
        <v>1</v>
      </c>
      <c r="W39" s="8" t="str">
        <f t="shared" si="5"/>
        <v>Karrouchi</v>
      </c>
      <c r="X39" s="8">
        <f t="shared" si="6"/>
        <v>16020</v>
      </c>
    </row>
    <row r="40" spans="1:24" x14ac:dyDescent="0.35">
      <c r="A40" s="1">
        <v>39</v>
      </c>
      <c r="B40" s="3" t="s">
        <v>149</v>
      </c>
      <c r="C40" s="3" t="s">
        <v>150</v>
      </c>
      <c r="D40" s="3" t="s">
        <v>151</v>
      </c>
      <c r="E40" s="3" t="s">
        <v>45</v>
      </c>
      <c r="F40" s="3" t="s">
        <v>34</v>
      </c>
      <c r="G40" s="3" t="s">
        <v>35</v>
      </c>
      <c r="H40" s="1">
        <v>2021</v>
      </c>
      <c r="I40" s="1">
        <v>207000</v>
      </c>
      <c r="J40" s="1" t="s">
        <v>36</v>
      </c>
      <c r="K40" s="2">
        <v>45669</v>
      </c>
      <c r="L40" s="1">
        <v>12</v>
      </c>
      <c r="M40" s="1">
        <v>3840</v>
      </c>
      <c r="N40" s="10">
        <f t="shared" si="0"/>
        <v>0.03</v>
      </c>
      <c r="O40" s="1">
        <f t="shared" si="1"/>
        <v>6210</v>
      </c>
      <c r="P40" s="13">
        <f t="shared" si="2"/>
        <v>10050</v>
      </c>
      <c r="Q40" s="1" t="str">
        <f t="shared" si="3"/>
        <v>VIP</v>
      </c>
      <c r="R40" s="7"/>
      <c r="S40" s="7"/>
      <c r="T40" s="7"/>
      <c r="V40" s="8">
        <f t="shared" si="4"/>
        <v>17</v>
      </c>
      <c r="W40" s="8" t="str">
        <f t="shared" si="5"/>
        <v>Benchekroun</v>
      </c>
      <c r="X40" s="8">
        <f t="shared" si="6"/>
        <v>10050</v>
      </c>
    </row>
    <row r="41" spans="1:24" x14ac:dyDescent="0.35">
      <c r="A41" s="1">
        <v>40</v>
      </c>
      <c r="B41" s="3" t="s">
        <v>152</v>
      </c>
      <c r="C41" s="3" t="s">
        <v>153</v>
      </c>
      <c r="D41" s="3" t="s">
        <v>154</v>
      </c>
      <c r="E41" s="3" t="s">
        <v>20</v>
      </c>
      <c r="F41" s="3" t="s">
        <v>21</v>
      </c>
      <c r="G41" s="3" t="s">
        <v>41</v>
      </c>
      <c r="H41" s="1">
        <v>2022</v>
      </c>
      <c r="I41" s="1">
        <v>210000</v>
      </c>
      <c r="J41" s="1" t="s">
        <v>23</v>
      </c>
      <c r="K41" s="2">
        <v>45670</v>
      </c>
      <c r="L41" s="1">
        <v>12</v>
      </c>
      <c r="M41" s="1">
        <v>3900</v>
      </c>
      <c r="N41" s="10">
        <f>IF(F41="Moto",5%,IF(F41="Voiture",3%,IF(F41="Camion",6%,0)))</f>
        <v>0.05</v>
      </c>
      <c r="O41" s="1">
        <f t="shared" si="1"/>
        <v>10500</v>
      </c>
      <c r="P41" s="13">
        <f t="shared" si="2"/>
        <v>14400</v>
      </c>
      <c r="Q41" s="1" t="str">
        <f t="shared" si="3"/>
        <v>VIP</v>
      </c>
      <c r="R41" s="7"/>
      <c r="S41" s="7"/>
      <c r="T41" s="7"/>
      <c r="V41" s="8">
        <f t="shared" si="4"/>
        <v>4</v>
      </c>
      <c r="W41" s="8" t="str">
        <f t="shared" si="5"/>
        <v>Ait Brahim</v>
      </c>
      <c r="X41" s="8">
        <f t="shared" si="6"/>
        <v>14400</v>
      </c>
    </row>
    <row r="42" spans="1:24" x14ac:dyDescent="0.35">
      <c r="P42" s="14"/>
    </row>
    <row r="43" spans="1:24" x14ac:dyDescent="0.35">
      <c r="P43" s="1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24" workbookViewId="0">
      <selection activeCell="G34" sqref="G34"/>
    </sheetView>
  </sheetViews>
  <sheetFormatPr defaultRowHeight="14.5" x14ac:dyDescent="0.35"/>
  <cols>
    <col min="1" max="1" width="12.36328125" customWidth="1"/>
    <col min="2" max="2" width="21.6328125" customWidth="1"/>
    <col min="4" max="4" width="12.36328125" bestFit="1" customWidth="1"/>
    <col min="5" max="5" width="18.6328125" customWidth="1"/>
  </cols>
  <sheetData>
    <row r="1" spans="1:5" x14ac:dyDescent="0.35">
      <c r="A1" s="18" t="s">
        <v>168</v>
      </c>
      <c r="B1" s="18"/>
    </row>
    <row r="2" spans="1:5" x14ac:dyDescent="0.35">
      <c r="A2" s="15" t="s">
        <v>160</v>
      </c>
      <c r="B2" t="s">
        <v>162</v>
      </c>
    </row>
    <row r="3" spans="1:5" x14ac:dyDescent="0.35">
      <c r="A3" s="4" t="s">
        <v>36</v>
      </c>
      <c r="B3" s="14">
        <v>95550</v>
      </c>
    </row>
    <row r="4" spans="1:5" x14ac:dyDescent="0.35">
      <c r="A4" s="4" t="s">
        <v>23</v>
      </c>
      <c r="B4" s="14">
        <v>144270</v>
      </c>
    </row>
    <row r="5" spans="1:5" x14ac:dyDescent="0.35">
      <c r="A5" s="4" t="s">
        <v>29</v>
      </c>
      <c r="B5" s="14">
        <v>152100</v>
      </c>
    </row>
    <row r="6" spans="1:5" x14ac:dyDescent="0.35">
      <c r="A6" s="4" t="s">
        <v>161</v>
      </c>
      <c r="B6" s="14">
        <v>391920</v>
      </c>
      <c r="D6" s="18" t="s">
        <v>169</v>
      </c>
      <c r="E6" s="18"/>
    </row>
    <row r="7" spans="1:5" x14ac:dyDescent="0.35">
      <c r="D7" s="15" t="s">
        <v>160</v>
      </c>
      <c r="E7" t="s">
        <v>163</v>
      </c>
    </row>
    <row r="8" spans="1:5" x14ac:dyDescent="0.35">
      <c r="D8" s="4" t="s">
        <v>50</v>
      </c>
      <c r="E8" s="14">
        <v>166</v>
      </c>
    </row>
    <row r="9" spans="1:5" x14ac:dyDescent="0.35">
      <c r="D9" s="4" t="s">
        <v>45</v>
      </c>
      <c r="E9" s="14">
        <v>179</v>
      </c>
    </row>
    <row r="10" spans="1:5" x14ac:dyDescent="0.35">
      <c r="D10" s="4" t="s">
        <v>58</v>
      </c>
      <c r="E10" s="14">
        <v>8</v>
      </c>
    </row>
    <row r="11" spans="1:5" x14ac:dyDescent="0.35">
      <c r="D11" s="4" t="s">
        <v>33</v>
      </c>
      <c r="E11" s="14">
        <v>158</v>
      </c>
    </row>
    <row r="12" spans="1:5" x14ac:dyDescent="0.35">
      <c r="D12" s="4" t="s">
        <v>20</v>
      </c>
      <c r="E12" s="14">
        <v>135</v>
      </c>
    </row>
    <row r="13" spans="1:5" x14ac:dyDescent="0.35">
      <c r="D13" s="4" t="s">
        <v>40</v>
      </c>
      <c r="E13" s="14">
        <v>174</v>
      </c>
    </row>
    <row r="14" spans="1:5" x14ac:dyDescent="0.35">
      <c r="D14" s="4" t="s">
        <v>161</v>
      </c>
      <c r="E14" s="14">
        <v>820</v>
      </c>
    </row>
    <row r="17" spans="1:5" x14ac:dyDescent="0.35">
      <c r="A17" s="18" t="s">
        <v>170</v>
      </c>
      <c r="B17" s="18"/>
    </row>
    <row r="18" spans="1:5" x14ac:dyDescent="0.35">
      <c r="A18" s="15" t="s">
        <v>160</v>
      </c>
      <c r="B18" t="s">
        <v>164</v>
      </c>
    </row>
    <row r="19" spans="1:5" x14ac:dyDescent="0.35">
      <c r="A19" s="4" t="s">
        <v>27</v>
      </c>
      <c r="B19" s="14">
        <v>11700</v>
      </c>
    </row>
    <row r="20" spans="1:5" x14ac:dyDescent="0.35">
      <c r="A20" s="4" t="s">
        <v>21</v>
      </c>
      <c r="B20" s="14">
        <v>10305</v>
      </c>
    </row>
    <row r="21" spans="1:5" x14ac:dyDescent="0.35">
      <c r="A21" s="4" t="s">
        <v>34</v>
      </c>
      <c r="B21" s="14">
        <v>7350</v>
      </c>
    </row>
    <row r="22" spans="1:5" x14ac:dyDescent="0.35">
      <c r="A22" s="4" t="s">
        <v>161</v>
      </c>
      <c r="B22" s="14">
        <v>9798</v>
      </c>
    </row>
    <row r="24" spans="1:5" x14ac:dyDescent="0.35">
      <c r="D24" s="19" t="s">
        <v>171</v>
      </c>
      <c r="E24" s="19"/>
    </row>
    <row r="25" spans="1:5" x14ac:dyDescent="0.35">
      <c r="D25" s="15" t="s">
        <v>160</v>
      </c>
      <c r="E25" t="s">
        <v>167</v>
      </c>
    </row>
    <row r="26" spans="1:5" x14ac:dyDescent="0.35">
      <c r="D26" s="4" t="s">
        <v>165</v>
      </c>
      <c r="E26" s="14">
        <v>1</v>
      </c>
    </row>
    <row r="27" spans="1:5" x14ac:dyDescent="0.35">
      <c r="D27" s="4" t="s">
        <v>166</v>
      </c>
      <c r="E27" s="14">
        <v>39</v>
      </c>
    </row>
    <row r="28" spans="1:5" x14ac:dyDescent="0.35">
      <c r="D28" s="4" t="s">
        <v>161</v>
      </c>
      <c r="E28" s="14">
        <v>40</v>
      </c>
    </row>
    <row r="30" spans="1:5" x14ac:dyDescent="0.35">
      <c r="A30" s="20" t="s">
        <v>172</v>
      </c>
      <c r="B30" s="20"/>
    </row>
    <row r="31" spans="1:5" x14ac:dyDescent="0.35">
      <c r="A31" s="15" t="s">
        <v>160</v>
      </c>
      <c r="B31" t="s">
        <v>162</v>
      </c>
    </row>
    <row r="32" spans="1:5" x14ac:dyDescent="0.35">
      <c r="A32" s="21" t="s">
        <v>173</v>
      </c>
      <c r="B32" s="14">
        <v>391920</v>
      </c>
    </row>
    <row r="33" spans="1:5" x14ac:dyDescent="0.35">
      <c r="A33" s="21" t="s">
        <v>161</v>
      </c>
      <c r="B33" s="14">
        <v>391920</v>
      </c>
    </row>
    <row r="35" spans="1:5" x14ac:dyDescent="0.35">
      <c r="D35" s="18" t="s">
        <v>174</v>
      </c>
      <c r="E35" s="18"/>
    </row>
    <row r="36" spans="1:5" x14ac:dyDescent="0.35">
      <c r="D36" s="15" t="s">
        <v>160</v>
      </c>
      <c r="E36" t="s">
        <v>162</v>
      </c>
    </row>
    <row r="37" spans="1:5" x14ac:dyDescent="0.35">
      <c r="D37" s="4" t="s">
        <v>152</v>
      </c>
      <c r="E37" s="14">
        <v>14400</v>
      </c>
    </row>
    <row r="38" spans="1:5" x14ac:dyDescent="0.35">
      <c r="D38" s="4" t="s">
        <v>128</v>
      </c>
      <c r="E38" s="14">
        <v>14580</v>
      </c>
    </row>
    <row r="39" spans="1:5" x14ac:dyDescent="0.35">
      <c r="D39" s="4" t="s">
        <v>146</v>
      </c>
      <c r="E39" s="14">
        <v>16020</v>
      </c>
    </row>
    <row r="40" spans="1:5" x14ac:dyDescent="0.35">
      <c r="D40" s="4" t="s">
        <v>119</v>
      </c>
      <c r="E40" s="14">
        <v>13860</v>
      </c>
    </row>
    <row r="41" spans="1:5" x14ac:dyDescent="0.35">
      <c r="D41" s="4" t="s">
        <v>137</v>
      </c>
      <c r="E41" s="14">
        <v>15300</v>
      </c>
    </row>
    <row r="42" spans="1:5" x14ac:dyDescent="0.35">
      <c r="D42" s="4" t="s">
        <v>161</v>
      </c>
      <c r="E42" s="14">
        <v>74160</v>
      </c>
    </row>
  </sheetData>
  <mergeCells count="6">
    <mergeCell ref="D35:E35"/>
    <mergeCell ref="A1:B1"/>
    <mergeCell ref="D6:E6"/>
    <mergeCell ref="A17:B17"/>
    <mergeCell ref="D24:E24"/>
    <mergeCell ref="A30:B30"/>
  </mergeCell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zoomScale="33" workbookViewId="0">
      <selection activeCell="Q2" sqref="Q2"/>
    </sheetView>
  </sheetViews>
  <sheetFormatPr defaultRowHeight="14.5" x14ac:dyDescent="0.35"/>
  <sheetData>
    <row r="1" spans="1:15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x14ac:dyDescent="0.35">
      <c r="A3" s="22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35">
      <c r="A4" s="22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35">
      <c r="A5" s="22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35">
      <c r="A6" s="22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35">
      <c r="A7" s="2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35">
      <c r="A8" s="22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35">
      <c r="A9" s="22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35">
      <c r="A10" s="22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35">
      <c r="A11" s="22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35">
      <c r="A12" s="22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35">
      <c r="A13" s="2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35">
      <c r="A14" s="22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35">
      <c r="A15" s="22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35">
      <c r="A16" s="22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35">
      <c r="A17" s="2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35">
      <c r="A18" s="22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35">
      <c r="A19" s="22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35">
      <c r="A20" s="22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35">
      <c r="A21" s="22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35">
      <c r="A22" s="22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35">
      <c r="A23" s="2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35">
      <c r="A24" s="2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35">
      <c r="A25" s="2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35">
      <c r="A26" s="2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35">
      <c r="A27" s="2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35">
      <c r="A28" s="2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35">
      <c r="A29" s="2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35">
      <c r="A30" s="2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35">
      <c r="A31" s="2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35">
      <c r="A32" s="2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35">
      <c r="A33" s="22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x14ac:dyDescent="0.35">
      <c r="A34" s="22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x14ac:dyDescent="0.35">
      <c r="A35" s="22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x14ac:dyDescent="0.35">
      <c r="A36" s="22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x14ac:dyDescent="0.35">
      <c r="A37" s="22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x14ac:dyDescent="0.35">
      <c r="A38" s="22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x14ac:dyDescent="0.35">
      <c r="A39" s="22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x14ac:dyDescent="0.35">
      <c r="A40" s="2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x14ac:dyDescent="0.35">
      <c r="A41" s="22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x14ac:dyDescent="0.35">
      <c r="A42" s="22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x14ac:dyDescent="0.35">
      <c r="A43" s="22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x14ac:dyDescent="0.35">
      <c r="A44" s="22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x14ac:dyDescent="0.35">
      <c r="A45" s="22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x14ac:dyDescent="0.35">
      <c r="A46" s="2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x14ac:dyDescent="0.35">
      <c r="A47" s="22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x14ac:dyDescent="0.35">
      <c r="A48" s="2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x14ac:dyDescent="0.35">
      <c r="A49" s="22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x14ac:dyDescent="0.35">
      <c r="A50" s="22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x14ac:dyDescent="0.35">
      <c r="A51" s="22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x14ac:dyDescent="0.35">
      <c r="A52" s="22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x14ac:dyDescent="0.35">
      <c r="A53" s="22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x14ac:dyDescent="0.35">
      <c r="A54" s="22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x14ac:dyDescent="0.35">
      <c r="A55" s="22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22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x14ac:dyDescent="0.35">
      <c r="A57" s="22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x14ac:dyDescent="0.35">
      <c r="A58" s="22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x14ac:dyDescent="0.35">
      <c r="A59" s="22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x14ac:dyDescent="0.35">
      <c r="A60" s="22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x14ac:dyDescent="0.35">
      <c r="A61" s="22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x14ac:dyDescent="0.35">
      <c r="A62" s="22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x14ac:dyDescent="0.35">
      <c r="A63" s="22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x14ac:dyDescent="0.35">
      <c r="A64" s="22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x14ac:dyDescent="0.35">
      <c r="A65" s="22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x14ac:dyDescent="0.35">
      <c r="A66" s="22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x14ac:dyDescent="0.35">
      <c r="A67" s="22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x14ac:dyDescent="0.35">
      <c r="A68" s="22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x14ac:dyDescent="0.35">
      <c r="A69" s="22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x14ac:dyDescent="0.35">
      <c r="A70" s="22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x14ac:dyDescent="0.35">
      <c r="A71" s="22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1:15" x14ac:dyDescent="0.35">
      <c r="A72" s="22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x14ac:dyDescent="0.35">
      <c r="A73" s="22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1:15" x14ac:dyDescent="0.35">
      <c r="A74" s="2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1:15" x14ac:dyDescent="0.35">
      <c r="A75" s="22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1:15" x14ac:dyDescent="0.35">
      <c r="A76" s="22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1:15" x14ac:dyDescent="0.35">
      <c r="A77" s="2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5" x14ac:dyDescent="0.35">
      <c r="A78" s="2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1:15" x14ac:dyDescent="0.35">
      <c r="A79" s="22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15" x14ac:dyDescent="0.35">
      <c r="A80" s="22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1:15" x14ac:dyDescent="0.35">
      <c r="A81" s="22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1:15" x14ac:dyDescent="0.35">
      <c r="A82" s="22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1:15" x14ac:dyDescent="0.35">
      <c r="A83" s="22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1:15" x14ac:dyDescent="0.35">
      <c r="A84" s="22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1:15" x14ac:dyDescent="0.35">
      <c r="A85" s="22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1:15" x14ac:dyDescent="0.35">
      <c r="A86" s="22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1:15" x14ac:dyDescent="0.35">
      <c r="A87" s="22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1:15" x14ac:dyDescent="0.35">
      <c r="A88" s="22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1:15" x14ac:dyDescent="0.35">
      <c r="A89" s="22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1:15" x14ac:dyDescent="0.35">
      <c r="A90" s="22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1:15" x14ac:dyDescent="0.35">
      <c r="A91" s="22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1:15" x14ac:dyDescent="0.35">
      <c r="A92" s="22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x14ac:dyDescent="0.35">
      <c r="A93" s="22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5" x14ac:dyDescent="0.35">
      <c r="A94" s="22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1:15" x14ac:dyDescent="0.35">
      <c r="A95" s="22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1:15" x14ac:dyDescent="0.35">
      <c r="A96" s="22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x14ac:dyDescent="0.35">
      <c r="A97" s="22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1:15" x14ac:dyDescent="0.35">
      <c r="A98" s="22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x14ac:dyDescent="0.35">
      <c r="A99" s="22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x14ac:dyDescent="0.35">
      <c r="A100" s="22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1:15" x14ac:dyDescent="0.35">
      <c r="A101" s="22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x14ac:dyDescent="0.35">
      <c r="A102" s="22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x14ac:dyDescent="0.35">
      <c r="A103" s="22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x14ac:dyDescent="0.35">
      <c r="A104" s="22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x14ac:dyDescent="0.35">
      <c r="A105" s="22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x14ac:dyDescent="0.35">
      <c r="A106" s="22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x14ac:dyDescent="0.35">
      <c r="A107" s="22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x14ac:dyDescent="0.35">
      <c r="A108" s="22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5" x14ac:dyDescent="0.35">
      <c r="A109" s="22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x14ac:dyDescent="0.35">
      <c r="A110" s="22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x14ac:dyDescent="0.35">
      <c r="A111" s="22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x14ac:dyDescent="0.35">
      <c r="A112" s="22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x14ac:dyDescent="0.35">
      <c r="A113" s="22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x14ac:dyDescent="0.35">
      <c r="A114" s="22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1:15" x14ac:dyDescent="0.35">
      <c r="A115" s="22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 spans="1:15" x14ac:dyDescent="0.35">
      <c r="A116" s="22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1:15" x14ac:dyDescent="0.35">
      <c r="A117" s="22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x14ac:dyDescent="0.35">
      <c r="A118" s="22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 spans="1:15" x14ac:dyDescent="0.35">
      <c r="A119" s="22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 spans="1:15" x14ac:dyDescent="0.35">
      <c r="A120" s="22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1:15" x14ac:dyDescent="0.35">
      <c r="A121" s="22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x14ac:dyDescent="0.35">
      <c r="A122" s="22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1:15" x14ac:dyDescent="0.35">
      <c r="A123" s="22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pans="1:15" x14ac:dyDescent="0.35">
      <c r="A124" s="22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 spans="1:15" x14ac:dyDescent="0.35">
      <c r="A125" s="22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pans="1:15" x14ac:dyDescent="0.35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</sheetData>
  <mergeCells count="2">
    <mergeCell ref="A1:O2"/>
    <mergeCell ref="A3:A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Assurances_Auto</vt:lpstr>
      <vt:lpstr>partie2</vt:lpstr>
      <vt:lpstr>dashboard</vt:lpstr>
      <vt:lpstr>Assurances_Auto!datas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2025-12-28T12:53:27Z</dcterms:created>
  <dcterms:modified xsi:type="dcterms:W3CDTF">2025-12-30T12:27:45Z</dcterms:modified>
</cp:coreProperties>
</file>